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ZBATIMENTS\Desktop\DOSSIER CONSTRUCTEUR\Dossier d'Exécutions\ESTIMATION PORTBOUET 2\"/>
    </mc:Choice>
  </mc:AlternateContent>
  <xr:revisionPtr revIDLastSave="0" documentId="8_{20C71D5A-D479-48E2-ABBF-E6C32E50E7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1" i="1" l="1"/>
  <c r="F232" i="1"/>
  <c r="F233" i="1"/>
  <c r="F230" i="1"/>
  <c r="F251" i="1"/>
  <c r="F241" i="1"/>
  <c r="F242" i="1"/>
  <c r="F245" i="1"/>
  <c r="F246" i="1"/>
  <c r="F247" i="1"/>
  <c r="F240" i="1"/>
  <c r="F237" i="1"/>
  <c r="F249" i="1" l="1"/>
  <c r="F234" i="1"/>
  <c r="F164" i="1"/>
  <c r="F159" i="1"/>
  <c r="F162" i="1"/>
  <c r="F167" i="1"/>
  <c r="F168" i="1"/>
  <c r="F169" i="1"/>
  <c r="F171" i="1"/>
  <c r="F172" i="1"/>
  <c r="F174" i="1"/>
  <c r="F175" i="1"/>
  <c r="F177" i="1"/>
  <c r="F178" i="1"/>
  <c r="F179" i="1"/>
  <c r="F180" i="1"/>
  <c r="F181" i="1"/>
  <c r="F182" i="1"/>
  <c r="F183" i="1"/>
  <c r="F184" i="1"/>
  <c r="F186" i="1"/>
  <c r="F187" i="1"/>
  <c r="F188" i="1"/>
  <c r="F191" i="1"/>
  <c r="F193" i="1" s="1"/>
  <c r="F192" i="1"/>
  <c r="F195" i="1"/>
  <c r="F197" i="1" s="1"/>
  <c r="F196" i="1"/>
  <c r="F158" i="1"/>
  <c r="F160" i="1" s="1"/>
  <c r="F123" i="1"/>
  <c r="F124" i="1"/>
  <c r="F126" i="1"/>
  <c r="F127" i="1"/>
  <c r="F128" i="1"/>
  <c r="F133" i="1"/>
  <c r="F134" i="1"/>
  <c r="F135" i="1"/>
  <c r="F136" i="1"/>
  <c r="F141" i="1"/>
  <c r="F142" i="1"/>
  <c r="F143" i="1"/>
  <c r="F147" i="1"/>
  <c r="F148" i="1"/>
  <c r="F149" i="1"/>
  <c r="F150" i="1"/>
  <c r="F151" i="1"/>
  <c r="F152" i="1"/>
  <c r="F153" i="1"/>
  <c r="F122" i="1"/>
  <c r="F155" i="1" s="1"/>
  <c r="F268" i="1"/>
  <c r="F252" i="1"/>
  <c r="F255" i="1"/>
  <c r="F256" i="1"/>
  <c r="F254" i="1"/>
  <c r="F263" i="1"/>
  <c r="F264" i="1"/>
  <c r="F265" i="1"/>
  <c r="F262" i="1"/>
  <c r="F259" i="1"/>
  <c r="F260" i="1" s="1"/>
  <c r="F224" i="1"/>
  <c r="F225" i="1" s="1"/>
  <c r="F227" i="1"/>
  <c r="F228" i="1" s="1"/>
  <c r="E227" i="1"/>
  <c r="F215" i="1"/>
  <c r="F214" i="1"/>
  <c r="F205" i="1"/>
  <c r="F206" i="1"/>
  <c r="F204" i="1"/>
  <c r="F201" i="1"/>
  <c r="F117" i="1"/>
  <c r="F116" i="1"/>
  <c r="F113" i="1"/>
  <c r="F114" i="1" s="1"/>
  <c r="F109" i="1"/>
  <c r="F110" i="1"/>
  <c r="F108" i="1"/>
  <c r="F104" i="1"/>
  <c r="F105" i="1"/>
  <c r="F103" i="1"/>
  <c r="F95" i="1"/>
  <c r="F96" i="1"/>
  <c r="F97" i="1"/>
  <c r="F98" i="1"/>
  <c r="F99" i="1"/>
  <c r="F100" i="1"/>
  <c r="F94" i="1"/>
  <c r="F81" i="1"/>
  <c r="F82" i="1"/>
  <c r="F83" i="1"/>
  <c r="F84" i="1"/>
  <c r="F85" i="1"/>
  <c r="F86" i="1"/>
  <c r="F87" i="1"/>
  <c r="F88" i="1"/>
  <c r="F89" i="1"/>
  <c r="F80" i="1"/>
  <c r="F71" i="1"/>
  <c r="F72" i="1"/>
  <c r="F73" i="1"/>
  <c r="F74" i="1"/>
  <c r="F75" i="1"/>
  <c r="F76" i="1"/>
  <c r="F77" i="1"/>
  <c r="F70" i="1"/>
  <c r="F59" i="1"/>
  <c r="F60" i="1"/>
  <c r="F61" i="1"/>
  <c r="F62" i="1"/>
  <c r="F63" i="1"/>
  <c r="F64" i="1"/>
  <c r="F65" i="1"/>
  <c r="F66" i="1"/>
  <c r="F58" i="1"/>
  <c r="F50" i="1"/>
  <c r="F51" i="1"/>
  <c r="F52" i="1"/>
  <c r="F53" i="1"/>
  <c r="F54" i="1"/>
  <c r="F55" i="1"/>
  <c r="F49" i="1"/>
  <c r="F37" i="1"/>
  <c r="F38" i="1"/>
  <c r="F39" i="1"/>
  <c r="F40" i="1"/>
  <c r="F41" i="1"/>
  <c r="F42" i="1"/>
  <c r="F43" i="1"/>
  <c r="F44" i="1"/>
  <c r="F36" i="1"/>
  <c r="F26" i="1"/>
  <c r="F27" i="1"/>
  <c r="F28" i="1"/>
  <c r="F29" i="1"/>
  <c r="F30" i="1"/>
  <c r="F31" i="1"/>
  <c r="F32" i="1"/>
  <c r="F33" i="1"/>
  <c r="F25" i="1"/>
  <c r="F17" i="1"/>
  <c r="F18" i="1"/>
  <c r="F19" i="1"/>
  <c r="F20" i="1"/>
  <c r="F21" i="1"/>
  <c r="F22" i="1"/>
  <c r="F16" i="1"/>
  <c r="F217" i="1"/>
  <c r="F218" i="1"/>
  <c r="F219" i="1"/>
  <c r="F220" i="1"/>
  <c r="F216" i="1"/>
  <c r="F208" i="1"/>
  <c r="F209" i="1"/>
  <c r="F210" i="1"/>
  <c r="F211" i="1"/>
  <c r="F207" i="1"/>
  <c r="F13" i="1"/>
  <c r="F12" i="1"/>
  <c r="F101" i="1" l="1"/>
  <c r="F106" i="1"/>
  <c r="F14" i="1"/>
  <c r="F189" i="1"/>
  <c r="F118" i="1"/>
  <c r="F266" i="1"/>
  <c r="F185" i="1"/>
  <c r="F198" i="1" s="1"/>
  <c r="F222" i="1"/>
  <c r="F46" i="1"/>
  <c r="F271" i="1" s="1"/>
  <c r="F68" i="1"/>
  <c r="F91" i="1"/>
  <c r="F111" i="1"/>
  <c r="F257" i="1"/>
  <c r="F272" i="1" l="1"/>
  <c r="F273" i="1" s="1"/>
  <c r="F274" i="1" l="1"/>
  <c r="F275" i="1" s="1"/>
</calcChain>
</file>

<file path=xl/sharedStrings.xml><?xml version="1.0" encoding="utf-8"?>
<sst xmlns="http://schemas.openxmlformats.org/spreadsheetml/2006/main" count="645" uniqueCount="309">
  <si>
    <t>U</t>
  </si>
  <si>
    <t>Lot 1</t>
  </si>
  <si>
    <t>DEMOLITION - INSTALLATION -TERRASSEMENT</t>
  </si>
  <si>
    <t>fft</t>
  </si>
  <si>
    <t>Décaissés sous  les poteaux isolés ( 1,00 x 1,00 x 0,40)</t>
  </si>
  <si>
    <t>Lot 2</t>
  </si>
  <si>
    <t>Exécution de Béton de proprété ép:5cm dosé à150kg/m3</t>
  </si>
  <si>
    <t>Armature en acier HA (semelles des poteaux isolés)</t>
  </si>
  <si>
    <t>Béton des semelles des poteaux isolés dosés à 350kg/m3</t>
  </si>
  <si>
    <t>m2</t>
  </si>
  <si>
    <t>kg</t>
  </si>
  <si>
    <t>m²</t>
  </si>
  <si>
    <t>Armature en acier HA ( Pour dallage au sol)</t>
  </si>
  <si>
    <t>Lot3</t>
  </si>
  <si>
    <t>SUPERSTRUCTURE</t>
  </si>
  <si>
    <t>Mur en élévation en agglos creux  de 15cm</t>
  </si>
  <si>
    <t>Armature en acier HA (Des poteaux en élevation)</t>
  </si>
  <si>
    <t>Coffrage des poteaux en élévation</t>
  </si>
  <si>
    <t>Coulage du Béton des poteaux  dosé à 350kg/m3</t>
  </si>
  <si>
    <t>Armature en acier HA (Chainage haut du rez de chaussée)</t>
  </si>
  <si>
    <t>Coffrage en bois du chainage haut du rez de chaussée</t>
  </si>
  <si>
    <t>Coulage du béton du chainage haut  dosé à 350kg/m3</t>
  </si>
  <si>
    <t>Sous total structure</t>
  </si>
  <si>
    <t>Plancher</t>
  </si>
  <si>
    <t>planche fond 30cm de 4m</t>
  </si>
  <si>
    <t>planche fond 25cm de 4m</t>
  </si>
  <si>
    <t>planche fond 15cm de 4m</t>
  </si>
  <si>
    <t>chévron 6/8 de 4m</t>
  </si>
  <si>
    <t>chévron 6/4 de 4m</t>
  </si>
  <si>
    <t>Bambou de chine de 4m</t>
  </si>
  <si>
    <t>serre-joint français</t>
  </si>
  <si>
    <t>Hourdis à corps creux 16+4</t>
  </si>
  <si>
    <t>Armature en acier HA (1er plancher)</t>
  </si>
  <si>
    <t>Coulage du Bèton armé dosé à 350 kg/m3</t>
  </si>
  <si>
    <t>Sous total plancher</t>
  </si>
  <si>
    <t>Total lot 3 RDC</t>
  </si>
  <si>
    <t>Lot 4</t>
  </si>
  <si>
    <t xml:space="preserve">                                       1er ETAGE</t>
  </si>
  <si>
    <t>Armature en acier HA (Poteaux en élevation 1er étage)</t>
  </si>
  <si>
    <t>Coulage du Béton de poteaux en élevation dosé à 350kg/m3</t>
  </si>
  <si>
    <t>Coulage du Béton du Chainage haut  dosé à 350kg/m3</t>
  </si>
  <si>
    <t>Coffrage en bois</t>
  </si>
  <si>
    <t>Mur en élévation en agglos creux  de 15 de 4 rangs après chainage haut</t>
  </si>
  <si>
    <t>Sous total 1er étage</t>
  </si>
  <si>
    <t>chévron 6/8 de 4m pour étais</t>
  </si>
  <si>
    <t>Armature en acier HA (Du 1er plancher)</t>
  </si>
  <si>
    <t>Total plancher</t>
  </si>
  <si>
    <t>Total lot 4 : 1er étage</t>
  </si>
  <si>
    <t>Lot 5</t>
  </si>
  <si>
    <t>Coffrage de l'escalier en bois</t>
  </si>
  <si>
    <t xml:space="preserve">Armature en acier HA </t>
  </si>
  <si>
    <t>Coulage du béton dosé à 350kg/m3</t>
  </si>
  <si>
    <t>planche fond 15 cm de 4m</t>
  </si>
  <si>
    <t>planche fond 30 cm de 4m</t>
  </si>
  <si>
    <t xml:space="preserve">     Sous Total escalier</t>
  </si>
  <si>
    <t>CHARPENTE-COUVERTURE</t>
  </si>
  <si>
    <t>F/P de Charpente métallique Y/C toutes sjétions de pose</t>
  </si>
  <si>
    <t xml:space="preserve">        m2</t>
  </si>
  <si>
    <t>Lot 8</t>
  </si>
  <si>
    <t>ENDUIT TALOCHE</t>
  </si>
  <si>
    <t xml:space="preserve">PORTES EN BOIS,PORTES METALLIQUE,GRILLE COULISSANTE,FENETRES </t>
  </si>
  <si>
    <t>Reez de chaussée</t>
  </si>
  <si>
    <t>F/P de Portail métalique tôlé sur une face  à 2 vantaux (1,50/2,10): chambre froide</t>
  </si>
  <si>
    <t>F/P de grille en volet  coulissante( magasins)</t>
  </si>
  <si>
    <t>F/P en volet roulant de sécurité</t>
  </si>
  <si>
    <t>F/P de portes et cadres pleines ( 70/210 ) y/c toutes sujétions de pose</t>
  </si>
  <si>
    <t>F/P de portes et cadres pleines ( 90/210 ) y/c toutes sujétions de pose</t>
  </si>
  <si>
    <t>F/P de portes et cadres pleines ( 150/210 ) y/c toutes sujétions de pose</t>
  </si>
  <si>
    <t>F/P de fenêtres  coulissante de 120/110 y/c toutes sujétions de pose</t>
  </si>
  <si>
    <t>F/P de fenêtres  coulissantes de 60/60 y/C toues sujétions de pose</t>
  </si>
  <si>
    <t>Total</t>
  </si>
  <si>
    <t xml:space="preserve">    GARDE DE CORPS</t>
  </si>
  <si>
    <t>Exécution de garde corps simple Y/C toutes sujétions d'exécutions</t>
  </si>
  <si>
    <t>Lot 12</t>
  </si>
  <si>
    <t xml:space="preserve"> MONTE CHARGE</t>
  </si>
  <si>
    <t xml:space="preserve">          U</t>
  </si>
  <si>
    <t>F/ d'imprimantes</t>
  </si>
  <si>
    <t>F de bureau + trois fauteuils</t>
  </si>
  <si>
    <t xml:space="preserve">F de fauteuils visiteurs ( salle d'attente) </t>
  </si>
  <si>
    <t>Ens.</t>
  </si>
  <si>
    <t>F d'ordinateurs de bureau</t>
  </si>
  <si>
    <t>Total lot 13</t>
  </si>
  <si>
    <t>REVETEMENTS sol (CARRELAGE)</t>
  </si>
  <si>
    <t>Rez de chaussé</t>
  </si>
  <si>
    <t>Sous Total Lot 14 Revêtement reez de chaussée</t>
  </si>
  <si>
    <t>Sous Total revêtement sol 1er et RDC</t>
  </si>
  <si>
    <t>Lot15</t>
  </si>
  <si>
    <t>ETANCHEITE</t>
  </si>
  <si>
    <t>PEINTURE</t>
  </si>
  <si>
    <t>Lot17</t>
  </si>
  <si>
    <t>DESIGN</t>
  </si>
  <si>
    <t>Lot 18</t>
  </si>
  <si>
    <t>PARKING</t>
  </si>
  <si>
    <t>F/P du film polyane préparation et compactage de la plate forme</t>
  </si>
  <si>
    <t>Exécution de  béton armé dosé à 350kg/m3</t>
  </si>
  <si>
    <t>NETTOYAGE DU CHANTIER</t>
  </si>
  <si>
    <t>Nettoyage du chantier et dépose à la décharge publique</t>
  </si>
  <si>
    <t>Béton de voile du sous sol dosé à 400kg/m3</t>
  </si>
  <si>
    <t>Armature en acier HA ( voile du sous sol)</t>
  </si>
  <si>
    <t>Armature en acier HA ( des poteaux du sous sol)</t>
  </si>
  <si>
    <t>Contre-plaquet ép 15mm</t>
  </si>
  <si>
    <t>serre-joint à vice</t>
  </si>
  <si>
    <t>Coffrage  en bois des poteaux du sous sol</t>
  </si>
  <si>
    <t>Coulage du Béton armé dosé à 350 kg/m3 des poteaux du sous sol</t>
  </si>
  <si>
    <t xml:space="preserve">coffrage du voile </t>
  </si>
  <si>
    <t>Remblais des fouilles après exécution du voile</t>
  </si>
  <si>
    <t>Sous total gros œuvre</t>
  </si>
  <si>
    <t>Plancher du sous sol</t>
  </si>
  <si>
    <t>Armature en acier HA De chainages haut du 1er étage</t>
  </si>
  <si>
    <t>CHENEAUX</t>
  </si>
  <si>
    <t>Coffrage en bois des cheneaux</t>
  </si>
  <si>
    <t>Lot6</t>
  </si>
  <si>
    <t xml:space="preserve"> Total lot 6 cheneaux</t>
  </si>
  <si>
    <t>cheneaux en béton armé dosé à 350kg/m3</t>
  </si>
  <si>
    <t>Sous sol</t>
  </si>
  <si>
    <t>Total sous sol</t>
  </si>
  <si>
    <t>Total   RDC</t>
  </si>
  <si>
    <t>F/P de grille   coulissante( magasins)</t>
  </si>
  <si>
    <t>sous total (sous sol)</t>
  </si>
  <si>
    <t>Dallage en béton armé dosé à 200kg/m3 ép: 12cm</t>
  </si>
  <si>
    <t>Film polyane pour isolation de l'ouvrage 100 micron</t>
  </si>
  <si>
    <t>Paillasse</t>
  </si>
  <si>
    <t>Armature en acier des étales</t>
  </si>
  <si>
    <t>LOT 7</t>
  </si>
  <si>
    <t xml:space="preserve"> Total lot 8</t>
  </si>
  <si>
    <t>LOT 9</t>
  </si>
  <si>
    <t>TOTAL LOT 9 CHARPENTE COUVERTURE</t>
  </si>
  <si>
    <t>Total lot 2 Gros œuvres sous sol</t>
  </si>
  <si>
    <t>TUYAUTERIE (alimentatiion / évacuation)</t>
  </si>
  <si>
    <t>Alimentation en PVC</t>
  </si>
  <si>
    <t xml:space="preserve"> - Travaux de préparation pour passage des tubes</t>
  </si>
  <si>
    <t xml:space="preserve"> - ouvertures et fermetures de tranchée avec grillage avertisseur</t>
  </si>
  <si>
    <t xml:space="preserve"> - Tube PVC, série pression, diam. 40</t>
  </si>
  <si>
    <t>Distribution EC - EF en tube PPR</t>
  </si>
  <si>
    <t xml:space="preserve"> - Tube PPR diam. 25</t>
  </si>
  <si>
    <t xml:space="preserve"> - Tube PPR diam. 20</t>
  </si>
  <si>
    <t xml:space="preserve"> - Vanne d'isolement diam. 20/27</t>
  </si>
  <si>
    <t xml:space="preserve"> - Buse de protection</t>
  </si>
  <si>
    <t xml:space="preserve"> Assainissement autonome</t>
  </si>
  <si>
    <t xml:space="preserve"> - Fosse septique toutes eaux de 5,00 m3</t>
  </si>
  <si>
    <t xml:space="preserve"> Assainissement EP</t>
  </si>
  <si>
    <t xml:space="preserve"> - Tube PVC, évacuation diam. 100</t>
  </si>
  <si>
    <t xml:space="preserve"> - Tube PVC, série évacuation, diam. 160</t>
  </si>
  <si>
    <t>ens</t>
  </si>
  <si>
    <t>ml</t>
  </si>
  <si>
    <t xml:space="preserve"> - Tube PVC, série évacuation, diam. 200</t>
  </si>
  <si>
    <t xml:space="preserve"> - Ouverture et fermeture de tranché y compris grillage avertisseurs</t>
  </si>
  <si>
    <t xml:space="preserve"> Regards a grille</t>
  </si>
  <si>
    <t xml:space="preserve"> - Regards maçonné de 60 x 60 avec grille galva pour EP</t>
  </si>
  <si>
    <t>Evacuation E.U et E.V</t>
  </si>
  <si>
    <t xml:space="preserve">  - Tube PVC, diamètre 63 </t>
  </si>
  <si>
    <t xml:space="preserve">  - Tube PVC, diamètre 100 </t>
  </si>
  <si>
    <t xml:space="preserve">  - Tube PVC, diamètre 125 </t>
  </si>
  <si>
    <t xml:space="preserve">  - Regards</t>
  </si>
  <si>
    <t>Appareils saitaires et accessoires</t>
  </si>
  <si>
    <t xml:space="preserve">  - WC  complet</t>
  </si>
  <si>
    <t xml:space="preserve">  - Lavabo </t>
  </si>
  <si>
    <t xml:space="preserve">  - Siphon chromé</t>
  </si>
  <si>
    <t xml:space="preserve">  - Evier </t>
  </si>
  <si>
    <t xml:space="preserve">  - Porte papier </t>
  </si>
  <si>
    <t xml:space="preserve">  - Mirroir</t>
  </si>
  <si>
    <t>ALIMENTATION GENERALE</t>
  </si>
  <si>
    <t xml:space="preserve"> - Câblage d'alimentation général depuis le compteur du service d'électricité en câble  HG 1000   4 x 16 mm² + PVC diamètre 75 jusqu'au tableau général</t>
  </si>
  <si>
    <t xml:space="preserve"> - Tranchée de largeur 0,60 m et de profondeur0,80 m y compris grillage avertisseur</t>
  </si>
  <si>
    <t>TABLEAU DE DISTRIBUTION</t>
  </si>
  <si>
    <t xml:space="preserve"> - Le tableau </t>
  </si>
  <si>
    <t>DISTRIBUTION ET RESEAUX DIVERS</t>
  </si>
  <si>
    <t>Mise à la terre</t>
  </si>
  <si>
    <t xml:space="preserve"> - Câble en cuivre nu 29 mm²</t>
  </si>
  <si>
    <t xml:space="preserve"> - Piquet de terre en cuivre nu </t>
  </si>
  <si>
    <t xml:space="preserve"> - Barrette de coupure</t>
  </si>
  <si>
    <t>Liaison équipotentielle</t>
  </si>
  <si>
    <t xml:space="preserve"> - Fil TH 2,5 mm² vert et jaune</t>
  </si>
  <si>
    <t xml:space="preserve"> - Tube isorange diam. 9</t>
  </si>
  <si>
    <t>Foureautage</t>
  </si>
  <si>
    <t xml:space="preserve"> - Tube isorange diam. 11</t>
  </si>
  <si>
    <t xml:space="preserve"> - Tube isorange diam. 13</t>
  </si>
  <si>
    <t xml:space="preserve"> - Boîte super box 4 x 65</t>
  </si>
  <si>
    <t xml:space="preserve"> - Boîte de dérivation 180 x 230</t>
  </si>
  <si>
    <t xml:space="preserve"> - Boîte ronde diam. 60</t>
  </si>
  <si>
    <t xml:space="preserve"> - Fil TH 2,5 mm²</t>
  </si>
  <si>
    <t xml:space="preserve"> - Fil TH 6 mm²</t>
  </si>
  <si>
    <t xml:space="preserve"> - Câble VGV 3 x 1,5 mm²</t>
  </si>
  <si>
    <t xml:space="preserve"> - Câble VGV 3 x 2,5 mm²</t>
  </si>
  <si>
    <t xml:space="preserve"> - Câble HFG 1000   16 mm²</t>
  </si>
  <si>
    <t xml:space="preserve"> - Interrupteur SA  LEGRAND</t>
  </si>
  <si>
    <t xml:space="preserve"> - Interrupteur DA  LEGRAND</t>
  </si>
  <si>
    <t xml:space="preserve"> - Dismatics 15 A</t>
  </si>
  <si>
    <t>prises</t>
  </si>
  <si>
    <t xml:space="preserve"> - Prise de courant 2P + T 10/16 A LEGRAND</t>
  </si>
  <si>
    <t xml:space="preserve"> - Prise de courant 2P + T 10/16 A plexo LEGRAND</t>
  </si>
  <si>
    <t xml:space="preserve"> - Reglette 120</t>
  </si>
  <si>
    <t xml:space="preserve"> - Applique lavabo </t>
  </si>
  <si>
    <t xml:space="preserve">  ELECTRICITE </t>
  </si>
  <si>
    <t xml:space="preserve"> PLOMBERIE  ET ASSAINISSEMENT</t>
  </si>
  <si>
    <t xml:space="preserve"> LOT 10</t>
  </si>
  <si>
    <t>TOTAL LOT 10 PLOMBERIE SANITAIRE</t>
  </si>
  <si>
    <t>LOT11</t>
  </si>
  <si>
    <t>TOTAL LOT  11 ELECTRICITE</t>
  </si>
  <si>
    <t>Lot 13</t>
  </si>
  <si>
    <t>Lot 14</t>
  </si>
  <si>
    <t>Total lot 14</t>
  </si>
  <si>
    <t>Total lot 15</t>
  </si>
  <si>
    <t>Lot16</t>
  </si>
  <si>
    <t>Total  lot 16 Revêtement</t>
  </si>
  <si>
    <t>Total  lot 17</t>
  </si>
  <si>
    <t>Total lot 18 Peinture</t>
  </si>
  <si>
    <t>Lot19</t>
  </si>
  <si>
    <t>Total lot19</t>
  </si>
  <si>
    <t>Lot 20</t>
  </si>
  <si>
    <t>Total lot 20 Parking</t>
  </si>
  <si>
    <t>Lot 21</t>
  </si>
  <si>
    <t>Total lot 21</t>
  </si>
  <si>
    <t>TABLEAU RECAPITULATIF DU MARCHE DE PORT BOUET 2</t>
  </si>
  <si>
    <t>RECAPITULATIF SOMMAIRE</t>
  </si>
  <si>
    <t>N°</t>
  </si>
  <si>
    <t>DESIGNATION DES LOTS</t>
  </si>
  <si>
    <t>MONTANTS TRAVAUX</t>
  </si>
  <si>
    <t xml:space="preserve">MOTANT TOTAL HT </t>
  </si>
  <si>
    <t>SUPERSTRUCTURE RDC</t>
  </si>
  <si>
    <t xml:space="preserve"> SUPERSTRUCTURE 1er ETAGE</t>
  </si>
  <si>
    <t>F/P de bouches d'incendie y compris toutes sujétions de poses</t>
  </si>
  <si>
    <t>Sous Total Gros œuvres sous sol</t>
  </si>
  <si>
    <t>Sous total 1</t>
  </si>
  <si>
    <t>Sous total 2</t>
  </si>
  <si>
    <t>Sous total 3</t>
  </si>
  <si>
    <t>S/TOTAL 1</t>
  </si>
  <si>
    <t>S/TOTAL 2</t>
  </si>
  <si>
    <t>S/TOTAL 3</t>
  </si>
  <si>
    <t>S/TOTAL 4</t>
  </si>
  <si>
    <t>S/TOTAL 5</t>
  </si>
  <si>
    <t>S/TOTAL 6</t>
  </si>
  <si>
    <t>Sous sol 1</t>
  </si>
  <si>
    <t xml:space="preserve">1er  Etage </t>
  </si>
  <si>
    <t xml:space="preserve">1er Etage </t>
  </si>
  <si>
    <t>Total lot 12 Menuiserie Bois 1er étage</t>
  </si>
  <si>
    <t xml:space="preserve"> MOBILIER DE BUREAU ( RDC et 1er étage)</t>
  </si>
  <si>
    <t xml:space="preserve">  enduit du sous sol ,rdc, 1er étage et escalier</t>
  </si>
  <si>
    <t>Béton des étales de vente du RDC, 1er étage dosé à 350kg/m3</t>
  </si>
  <si>
    <t>Escalier</t>
  </si>
  <si>
    <t xml:space="preserve"> MOBILIER DE BUREAU ( RDC, 1er et étage)</t>
  </si>
  <si>
    <t>Terrassement</t>
  </si>
  <si>
    <t>Fouilles enTranchées et en rigoles</t>
  </si>
  <si>
    <t xml:space="preserve">              </t>
  </si>
  <si>
    <t>Coffrage en bois par endroit des abords</t>
  </si>
  <si>
    <t>F/P de monte charge pour  750kg,  Y/C toutes sujétions de pose</t>
  </si>
  <si>
    <t>Construction  d'un poste 22 TS avec transfo 630 KVA et 3 cellules avec TUR 8 Départ.</t>
  </si>
  <si>
    <t>F/P de Couverture en panneaux isothermiques ondulés</t>
  </si>
  <si>
    <t>volet roulant  manuel de sécurité</t>
  </si>
  <si>
    <t>F/P  de passalumin français après bitume SBS autoprotégé</t>
  </si>
  <si>
    <r>
      <rPr>
        <b/>
        <sz val="11"/>
        <color theme="1"/>
        <rFont val="Times New Roman"/>
        <family val="1"/>
      </rPr>
      <t>GROS ŒUVRE</t>
    </r>
    <r>
      <rPr>
        <b/>
        <sz val="13"/>
        <color theme="1"/>
        <rFont val="Times New Roman"/>
        <family val="1"/>
      </rPr>
      <t xml:space="preserve"> sous sol</t>
    </r>
  </si>
  <si>
    <r>
      <t xml:space="preserve"> </t>
    </r>
    <r>
      <rPr>
        <b/>
        <sz val="12"/>
        <color theme="1"/>
        <rFont val="Times New Roman"/>
        <family val="1"/>
      </rPr>
      <t>L'escalier</t>
    </r>
  </si>
  <si>
    <r>
      <t>C</t>
    </r>
    <r>
      <rPr>
        <sz val="12"/>
        <color theme="1"/>
        <rFont val="Times New Roman"/>
        <family val="1"/>
      </rPr>
      <t>offrage en bois des paillasses</t>
    </r>
  </si>
  <si>
    <r>
      <t xml:space="preserve">Câblage et filerie </t>
    </r>
    <r>
      <rPr>
        <sz val="12"/>
        <color rgb="FF000000"/>
        <rFont val="Times New Roman"/>
        <family val="1"/>
      </rPr>
      <t xml:space="preserve"> - Fil TH 1,5 mm²</t>
    </r>
  </si>
  <si>
    <r>
      <t>LUMINAIRES</t>
    </r>
    <r>
      <rPr>
        <b/>
        <sz val="12"/>
        <color rgb="FF000000"/>
        <rFont val="Times New Roman"/>
        <family val="1"/>
      </rPr>
      <t xml:space="preserve"> : </t>
    </r>
    <r>
      <rPr>
        <sz val="12"/>
        <color rgb="FF000000"/>
        <rFont val="Times New Roman"/>
        <family val="1"/>
      </rPr>
      <t xml:space="preserve"> - Lampadaire</t>
    </r>
  </si>
  <si>
    <r>
      <t xml:space="preserve">F/P de fenêtres  coulissantes de 120/110 en </t>
    </r>
    <r>
      <rPr>
        <b/>
        <sz val="11"/>
        <color theme="1"/>
        <rFont val="Times New Roman"/>
        <family val="1"/>
      </rPr>
      <t>allu</t>
    </r>
  </si>
  <si>
    <r>
      <t xml:space="preserve">F/P de fenêtres  coulissantes de 60/60 en </t>
    </r>
    <r>
      <rPr>
        <b/>
        <sz val="11"/>
        <color theme="1"/>
        <rFont val="Times New Roman"/>
        <family val="1"/>
      </rPr>
      <t>Allu</t>
    </r>
  </si>
  <si>
    <t>RDC</t>
  </si>
  <si>
    <t>LOT 10</t>
  </si>
  <si>
    <t>Total LOT 7 Paillasse</t>
  </si>
  <si>
    <t xml:space="preserve">                                                     DESIGNATION DES OUVRAGES</t>
  </si>
  <si>
    <t>N</t>
  </si>
  <si>
    <t>P,U</t>
  </si>
  <si>
    <t>TOTAL</t>
  </si>
  <si>
    <r>
      <t>m</t>
    </r>
    <r>
      <rPr>
        <vertAlign val="superscript"/>
        <sz val="12"/>
        <color theme="1"/>
        <rFont val="Times New Roman"/>
        <family val="1"/>
      </rPr>
      <t>3</t>
    </r>
  </si>
  <si>
    <r>
      <t>m</t>
    </r>
    <r>
      <rPr>
        <vertAlign val="superscript"/>
        <sz val="12"/>
        <color theme="1"/>
        <rFont val="Times New Roman"/>
        <family val="1"/>
      </rPr>
      <t>2</t>
    </r>
  </si>
  <si>
    <r>
      <t>m</t>
    </r>
    <r>
      <rPr>
        <vertAlign val="superscript"/>
        <sz val="11"/>
        <color theme="1"/>
        <rFont val="Times New Roman"/>
        <family val="1"/>
      </rPr>
      <t>3</t>
    </r>
  </si>
  <si>
    <r>
      <t>m</t>
    </r>
    <r>
      <rPr>
        <vertAlign val="superscript"/>
        <sz val="11"/>
        <color theme="1"/>
        <rFont val="Times New Roman"/>
        <family val="1"/>
      </rPr>
      <t>2</t>
    </r>
  </si>
  <si>
    <t>PROJET DE CONSTRUCTION D'UN MARCHE A PORBOUET 2</t>
  </si>
  <si>
    <t>Amené du Matériels - Installation de chantier</t>
  </si>
  <si>
    <t>Etude Béton Armé</t>
  </si>
  <si>
    <t>Implantation de marché</t>
  </si>
  <si>
    <t>MONTANTS H,T</t>
  </si>
  <si>
    <t>Unité</t>
  </si>
  <si>
    <t>Quantité</t>
  </si>
  <si>
    <t>Prix Unitaire</t>
  </si>
  <si>
    <t>Date : 10/06/2024</t>
  </si>
  <si>
    <t>Total lot1</t>
  </si>
  <si>
    <r>
      <t xml:space="preserve">F/P de portes et cadres pleines ( 70/210 ) y/c toutes sujétions de pose </t>
    </r>
    <r>
      <rPr>
        <b/>
        <sz val="12"/>
        <color rgb="FFFF0000"/>
        <rFont val="Times New Roman"/>
        <family val="1"/>
      </rPr>
      <t>(239 035)</t>
    </r>
  </si>
  <si>
    <r>
      <t xml:space="preserve">F/P de fenêtres  coulissantes de 120/110 en </t>
    </r>
    <r>
      <rPr>
        <b/>
        <sz val="11"/>
        <color theme="1"/>
        <rFont val="Times New Roman"/>
        <family val="1"/>
      </rPr>
      <t>Allu</t>
    </r>
    <r>
      <rPr>
        <sz val="11"/>
        <color theme="1"/>
        <rFont val="Times New Roman"/>
        <family val="1"/>
      </rPr>
      <t xml:space="preserve"> </t>
    </r>
    <r>
      <rPr>
        <b/>
        <sz val="11"/>
        <color rgb="FFFF0000"/>
        <rFont val="Times New Roman"/>
        <family val="1"/>
      </rPr>
      <t>(250 000)</t>
    </r>
  </si>
  <si>
    <r>
      <t xml:space="preserve">F/P de fenêtres  coulissantes de 60/60 en </t>
    </r>
    <r>
      <rPr>
        <b/>
        <sz val="11"/>
        <color theme="1"/>
        <rFont val="Times New Roman"/>
        <family val="1"/>
      </rPr>
      <t>Allu</t>
    </r>
    <r>
      <rPr>
        <sz val="11"/>
        <color theme="1"/>
        <rFont val="Times New Roman"/>
        <family val="1"/>
      </rPr>
      <t xml:space="preserve"> </t>
    </r>
    <r>
      <rPr>
        <b/>
        <sz val="11"/>
        <color rgb="FFFF0000"/>
        <rFont val="Times New Roman"/>
        <family val="1"/>
      </rPr>
      <t>(110 000)</t>
    </r>
  </si>
  <si>
    <r>
      <t xml:space="preserve">F/P de portes et cadres pleines ( 90/210 ) y/c toutes sujétions de pose </t>
    </r>
    <r>
      <rPr>
        <b/>
        <sz val="12"/>
        <color rgb="FFFF0000"/>
        <rFont val="Times New Roman"/>
        <family val="1"/>
      </rPr>
      <t>(264 865)</t>
    </r>
  </si>
  <si>
    <r>
      <t xml:space="preserve">F/P de portes et cadres pleines ( 150/210 ) y/c toutes sujétions de pose </t>
    </r>
    <r>
      <rPr>
        <b/>
        <sz val="12"/>
        <color rgb="FFFF0000"/>
        <rFont val="Times New Roman"/>
        <family val="1"/>
      </rPr>
      <t>(4110235)</t>
    </r>
  </si>
  <si>
    <r>
      <t xml:space="preserve">F/P de fenêtres  coulissante de 120/110 y/c toutes sujétions de pose </t>
    </r>
    <r>
      <rPr>
        <b/>
        <sz val="11"/>
        <color rgb="FFFF0000"/>
        <rFont val="Times New Roman"/>
        <family val="1"/>
      </rPr>
      <t>(168 000)</t>
    </r>
  </si>
  <si>
    <r>
      <t xml:space="preserve">F/P de fenêtres  coulissantes de 60/60 y/C toues sujétions de pose </t>
    </r>
    <r>
      <rPr>
        <b/>
        <sz val="11"/>
        <color rgb="FFFF0000"/>
        <rFont val="Times New Roman"/>
        <family val="1"/>
      </rPr>
      <t>(82 000)</t>
    </r>
  </si>
  <si>
    <r>
      <t xml:space="preserve">F/P de monte charge pour  750kg,  Y/C toutes sujétions de pose </t>
    </r>
    <r>
      <rPr>
        <b/>
        <sz val="11"/>
        <color rgb="FFFF0000"/>
        <rFont val="Times New Roman"/>
        <family val="1"/>
      </rPr>
      <t>(250/kg)</t>
    </r>
  </si>
  <si>
    <r>
      <t xml:space="preserve">F/P en volet roulant de sécurité </t>
    </r>
    <r>
      <rPr>
        <b/>
        <sz val="11"/>
        <color rgb="FFFF0000"/>
        <rFont val="Times New Roman"/>
        <family val="1"/>
      </rPr>
      <t>(300 000)</t>
    </r>
  </si>
  <si>
    <r>
      <t xml:space="preserve">Exécution de garde corps simple Y/C toutes sujétions d'exécutions </t>
    </r>
    <r>
      <rPr>
        <b/>
        <sz val="12"/>
        <color rgb="FFFF0000"/>
        <rFont val="Times New Roman"/>
        <family val="1"/>
      </rPr>
      <t>(60 000)</t>
    </r>
  </si>
  <si>
    <r>
      <t xml:space="preserve">F/P de fer forgé au mur pour embelissement </t>
    </r>
    <r>
      <rPr>
        <b/>
        <sz val="12"/>
        <color rgb="FFFF0000"/>
        <rFont val="Times New Roman"/>
        <family val="1"/>
      </rPr>
      <t>(80 000)</t>
    </r>
  </si>
  <si>
    <r>
      <t xml:space="preserve">F/P de grille en volet  coulissante( magasins) </t>
    </r>
    <r>
      <rPr>
        <b/>
        <sz val="11"/>
        <color rgb="FFFF0000"/>
        <rFont val="Times New Roman"/>
        <family val="1"/>
      </rPr>
      <t>(350 000)</t>
    </r>
  </si>
  <si>
    <r>
      <t xml:space="preserve">F/P de Portail métalique tôlé sur une face  à 2 vantaux (1,50/2,10): chambre froide </t>
    </r>
    <r>
      <rPr>
        <b/>
        <sz val="11"/>
        <color rgb="FFFF0000"/>
        <rFont val="Times New Roman"/>
        <family val="1"/>
      </rPr>
      <t>(520 000)</t>
    </r>
  </si>
  <si>
    <r>
      <t xml:space="preserve">volet roulant  manuel de sécurité </t>
    </r>
    <r>
      <rPr>
        <b/>
        <sz val="11"/>
        <color rgb="FFFF0000"/>
        <rFont val="Times New Roman"/>
        <family val="1"/>
      </rPr>
      <t>(430 000)</t>
    </r>
  </si>
  <si>
    <r>
      <t xml:space="preserve">F/P de grille coulissante( magasins) </t>
    </r>
    <r>
      <rPr>
        <b/>
        <sz val="11"/>
        <color rgb="FFFF0000"/>
        <rFont val="Times New Roman"/>
        <family val="1"/>
      </rPr>
      <t>(400 000)</t>
    </r>
  </si>
  <si>
    <r>
      <t xml:space="preserve">Exécution de peinture vignylique sur plafonds </t>
    </r>
    <r>
      <rPr>
        <b/>
        <sz val="12"/>
        <color rgb="FFFF0000"/>
        <rFont val="Times New Roman"/>
        <family val="1"/>
      </rPr>
      <t>(3500)</t>
    </r>
  </si>
  <si>
    <r>
      <t xml:space="preserve">Exécution de peinture vignylique sur murs </t>
    </r>
    <r>
      <rPr>
        <b/>
        <sz val="12"/>
        <color rgb="FFFF0000"/>
        <rFont val="Times New Roman"/>
        <family val="1"/>
      </rPr>
      <t>(2500)</t>
    </r>
  </si>
  <si>
    <r>
      <t xml:space="preserve">Exécution de peinture glycéro sur cadres, portes </t>
    </r>
    <r>
      <rPr>
        <b/>
        <sz val="12"/>
        <color rgb="FFFF0000"/>
        <rFont val="Times New Roman"/>
        <family val="1"/>
      </rPr>
      <t>(2500+3000) = moyen (2750)</t>
    </r>
  </si>
  <si>
    <r>
      <t xml:space="preserve">F/P de carreaux de type grès cérame </t>
    </r>
    <r>
      <rPr>
        <b/>
        <sz val="12"/>
        <color rgb="FFFF0000"/>
        <rFont val="Times New Roman"/>
        <family val="1"/>
      </rPr>
      <t>(17000/20000)</t>
    </r>
  </si>
  <si>
    <r>
      <t xml:space="preserve">F/P de carreaux de type grès cérame Y/C toutes sujétions de pose </t>
    </r>
    <r>
      <rPr>
        <b/>
        <sz val="12"/>
        <color rgb="FFFF0000"/>
        <rFont val="Times New Roman"/>
        <family val="1"/>
      </rPr>
      <t>(22000/25000)</t>
    </r>
  </si>
  <si>
    <r>
      <t xml:space="preserve">F/P carreaux de type anti-dérapantde Y/C toutes sujétions de pose </t>
    </r>
    <r>
      <rPr>
        <b/>
        <sz val="12"/>
        <color rgb="FFFF0000"/>
        <rFont val="Times New Roman"/>
        <family val="1"/>
      </rPr>
      <t>(22000/25000)</t>
    </r>
  </si>
  <si>
    <r>
      <t xml:space="preserve">F/P de carreaux de type faience Y/C toutes sujétions de pose </t>
    </r>
    <r>
      <rPr>
        <b/>
        <sz val="12"/>
        <color rgb="FFFF0000"/>
        <rFont val="Times New Roman"/>
        <family val="1"/>
      </rPr>
      <t>(15000/17000)</t>
    </r>
  </si>
  <si>
    <r>
      <t xml:space="preserve">F/P de carreaux de type anti-dérapant Y/C toutes sujétions de pose </t>
    </r>
    <r>
      <rPr>
        <b/>
        <sz val="12"/>
        <color rgb="FFFF0000"/>
        <rFont val="Times New Roman"/>
        <family val="1"/>
      </rPr>
      <t>(22000/25000)</t>
    </r>
  </si>
  <si>
    <r>
      <rPr>
        <i/>
        <u/>
        <sz val="11"/>
        <color theme="1"/>
        <rFont val="Times New Roman"/>
        <family val="1"/>
      </rPr>
      <t>Affaire suivie par</t>
    </r>
    <r>
      <rPr>
        <i/>
        <sz val="11"/>
        <color theme="1"/>
        <rFont val="Times New Roman"/>
        <family val="1"/>
      </rPr>
      <t xml:space="preserve"> : la direction Technique,</t>
    </r>
  </si>
  <si>
    <t>TOTAL H.T. =</t>
  </si>
  <si>
    <t>Rabais 5 % =</t>
  </si>
  <si>
    <t>TOTAL H.T. après Rabais =</t>
  </si>
  <si>
    <t>T.V.A 18 % =</t>
  </si>
  <si>
    <t>TOTAL TTC. =</t>
  </si>
  <si>
    <t>Arrèté le présent devis à la somme de :</t>
  </si>
  <si>
    <t>Huit Milliards Sept Cent Soixante Dix Millions Sept Cent Sept Miles, 844 F.cfa,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</si>
</sst>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i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b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b/>
      <u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i/>
      <u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u/>
      <sz val="10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2"/>
      <color rgb="FFFFFFFF"/>
      <name val="Times New Roman"/>
      <family val="1"/>
    </font>
    <font>
      <b/>
      <sz val="11"/>
      <color rgb="FF000000"/>
      <name val="Times New Roman"/>
      <family val="1"/>
    </font>
    <font>
      <sz val="8"/>
      <name val="Calibri"/>
      <family val="2"/>
      <scheme val="minor"/>
    </font>
    <font>
      <b/>
      <u/>
      <sz val="16"/>
      <color rgb="FF000000"/>
      <name val="Times New Roman"/>
      <family val="1"/>
    </font>
    <font>
      <vertAlign val="superscript"/>
      <sz val="12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2"/>
      <color rgb="FFFF0000"/>
      <name val="Times New Roman"/>
      <family val="1"/>
    </font>
    <font>
      <i/>
      <sz val="11"/>
      <color theme="1"/>
      <name val="Times New Roman"/>
      <family val="1"/>
    </font>
    <font>
      <i/>
      <u/>
      <sz val="11"/>
      <color theme="1"/>
      <name val="Times New Roman"/>
      <family val="1"/>
    </font>
    <font>
      <b/>
      <i/>
      <u/>
      <sz val="11"/>
      <color theme="1"/>
      <name val="Times New Roman"/>
      <family val="1"/>
    </font>
    <font>
      <b/>
      <i/>
      <sz val="14"/>
      <color rgb="FFFF0000"/>
      <name val="Times New Roman"/>
      <family val="1"/>
    </font>
    <font>
      <b/>
      <i/>
      <sz val="11"/>
      <color rgb="FF0070C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medium">
        <color rgb="FF000000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9" fillId="0" borderId="1" xfId="0" applyFont="1" applyBorder="1"/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8" fillId="0" borderId="1" xfId="0" applyFont="1" applyBorder="1"/>
    <xf numFmtId="3" fontId="5" fillId="0" borderId="2" xfId="0" applyNumberFormat="1" applyFont="1" applyBorder="1" applyAlignment="1">
      <alignment horizontal="center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right" vertical="center" wrapText="1"/>
    </xf>
    <xf numFmtId="0" fontId="5" fillId="0" borderId="0" xfId="0" applyFont="1"/>
    <xf numFmtId="0" fontId="13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3" fontId="13" fillId="0" borderId="1" xfId="0" applyNumberFormat="1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3" fontId="11" fillId="0" borderId="1" xfId="0" applyNumberFormat="1" applyFont="1" applyBorder="1" applyAlignment="1">
      <alignment horizontal="justify" vertical="center" wrapText="1"/>
    </xf>
    <xf numFmtId="4" fontId="1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3" fontId="3" fillId="0" borderId="0" xfId="0" applyNumberFormat="1" applyFont="1"/>
    <xf numFmtId="0" fontId="4" fillId="0" borderId="3" xfId="0" applyFont="1" applyBorder="1"/>
    <xf numFmtId="0" fontId="3" fillId="0" borderId="3" xfId="0" applyFont="1" applyBorder="1" applyAlignment="1">
      <alignment horizontal="center"/>
    </xf>
    <xf numFmtId="3" fontId="5" fillId="0" borderId="3" xfId="0" applyNumberFormat="1" applyFont="1" applyBorder="1" applyAlignment="1">
      <alignment horizontal="center"/>
    </xf>
    <xf numFmtId="0" fontId="3" fillId="0" borderId="3" xfId="0" applyFont="1" applyBorder="1"/>
    <xf numFmtId="0" fontId="14" fillId="0" borderId="0" xfId="0" applyFont="1" applyAlignment="1">
      <alignment vertical="center" wrapText="1"/>
    </xf>
    <xf numFmtId="0" fontId="18" fillId="5" borderId="0" xfId="0" applyFont="1" applyFill="1" applyAlignment="1">
      <alignment horizontal="left" vertical="center" wrapText="1" indent="1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4" fillId="0" borderId="2" xfId="0" applyFont="1" applyBorder="1"/>
    <xf numFmtId="0" fontId="5" fillId="0" borderId="2" xfId="0" applyFont="1" applyBorder="1" applyAlignment="1">
      <alignment horizontal="center"/>
    </xf>
    <xf numFmtId="0" fontId="10" fillId="0" borderId="3" xfId="0" applyFont="1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/>
    </xf>
    <xf numFmtId="0" fontId="10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3" fontId="5" fillId="0" borderId="6" xfId="0" applyNumberFormat="1" applyFont="1" applyBorder="1" applyAlignment="1">
      <alignment horizontal="center"/>
    </xf>
    <xf numFmtId="0" fontId="21" fillId="0" borderId="6" xfId="0" applyFont="1" applyBorder="1" applyAlignment="1">
      <alignment horizontal="center" vertical="center" wrapText="1"/>
    </xf>
    <xf numFmtId="0" fontId="5" fillId="0" borderId="2" xfId="0" applyFont="1" applyBorder="1"/>
    <xf numFmtId="0" fontId="3" fillId="0" borderId="5" xfId="0" applyFont="1" applyBorder="1"/>
    <xf numFmtId="0" fontId="4" fillId="0" borderId="6" xfId="0" applyFont="1" applyBorder="1"/>
    <xf numFmtId="0" fontId="5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8" fillId="0" borderId="3" xfId="0" applyFont="1" applyBorder="1"/>
    <xf numFmtId="0" fontId="5" fillId="0" borderId="3" xfId="0" applyFont="1" applyBorder="1" applyAlignment="1">
      <alignment horizontal="center"/>
    </xf>
    <xf numFmtId="0" fontId="4" fillId="0" borderId="5" xfId="0" applyFont="1" applyBorder="1"/>
    <xf numFmtId="0" fontId="3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7" fillId="0" borderId="3" xfId="0" applyFont="1" applyBorder="1"/>
    <xf numFmtId="0" fontId="4" fillId="0" borderId="9" xfId="0" applyFont="1" applyBorder="1"/>
    <xf numFmtId="0" fontId="3" fillId="0" borderId="10" xfId="0" applyFont="1" applyBorder="1" applyAlignment="1">
      <alignment horizontal="right"/>
    </xf>
    <xf numFmtId="0" fontId="4" fillId="0" borderId="11" xfId="0" applyFont="1" applyBorder="1"/>
    <xf numFmtId="3" fontId="5" fillId="0" borderId="12" xfId="0" applyNumberFormat="1" applyFont="1" applyBorder="1" applyAlignment="1">
      <alignment horizontal="right"/>
    </xf>
    <xf numFmtId="0" fontId="3" fillId="0" borderId="11" xfId="0" applyFont="1" applyBorder="1"/>
    <xf numFmtId="3" fontId="5" fillId="0" borderId="12" xfId="0" applyNumberFormat="1" applyFont="1" applyBorder="1" applyAlignment="1">
      <alignment horizontal="center"/>
    </xf>
    <xf numFmtId="0" fontId="3" fillId="0" borderId="13" xfId="0" applyFont="1" applyBorder="1"/>
    <xf numFmtId="3" fontId="5" fillId="0" borderId="14" xfId="0" applyNumberFormat="1" applyFont="1" applyBorder="1" applyAlignment="1">
      <alignment horizontal="center"/>
    </xf>
    <xf numFmtId="3" fontId="5" fillId="0" borderId="10" xfId="0" applyNumberFormat="1" applyFont="1" applyBorder="1" applyAlignment="1">
      <alignment horizontal="center"/>
    </xf>
    <xf numFmtId="0" fontId="3" fillId="0" borderId="9" xfId="0" applyFont="1" applyBorder="1"/>
    <xf numFmtId="0" fontId="8" fillId="0" borderId="11" xfId="0" applyFont="1" applyBorder="1"/>
    <xf numFmtId="0" fontId="4" fillId="0" borderId="13" xfId="0" applyFont="1" applyBorder="1"/>
    <xf numFmtId="0" fontId="8" fillId="0" borderId="9" xfId="0" applyFont="1" applyBorder="1"/>
    <xf numFmtId="0" fontId="5" fillId="0" borderId="11" xfId="0" applyFont="1" applyBorder="1"/>
    <xf numFmtId="0" fontId="5" fillId="0" borderId="13" xfId="0" applyFont="1" applyBorder="1"/>
    <xf numFmtId="0" fontId="1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justify" vertical="center" wrapText="1"/>
    </xf>
    <xf numFmtId="3" fontId="13" fillId="0" borderId="2" xfId="0" applyNumberFormat="1" applyFont="1" applyBorder="1" applyAlignment="1">
      <alignment horizontal="right" vertical="center" wrapText="1"/>
    </xf>
    <xf numFmtId="0" fontId="13" fillId="0" borderId="6" xfId="0" applyFont="1" applyBorder="1" applyAlignment="1">
      <alignment horizontal="center" vertical="center" wrapText="1"/>
    </xf>
    <xf numFmtId="3" fontId="13" fillId="0" borderId="6" xfId="0" applyNumberFormat="1" applyFont="1" applyBorder="1" applyAlignment="1">
      <alignment horizontal="right" vertical="center" wrapText="1"/>
    </xf>
    <xf numFmtId="0" fontId="8" fillId="0" borderId="2" xfId="0" applyFont="1" applyBorder="1"/>
    <xf numFmtId="0" fontId="3" fillId="0" borderId="6" xfId="0" applyFont="1" applyBorder="1"/>
    <xf numFmtId="0" fontId="5" fillId="0" borderId="5" xfId="0" applyFont="1" applyBorder="1"/>
    <xf numFmtId="3" fontId="5" fillId="2" borderId="8" xfId="0" applyNumberFormat="1" applyFont="1" applyFill="1" applyBorder="1" applyAlignment="1">
      <alignment horizontal="center"/>
    </xf>
    <xf numFmtId="0" fontId="4" fillId="0" borderId="18" xfId="0" applyFont="1" applyBorder="1"/>
    <xf numFmtId="3" fontId="8" fillId="0" borderId="12" xfId="0" applyNumberFormat="1" applyFont="1" applyBorder="1" applyAlignment="1">
      <alignment horizontal="right"/>
    </xf>
    <xf numFmtId="3" fontId="19" fillId="0" borderId="12" xfId="0" applyNumberFormat="1" applyFont="1" applyBorder="1" applyAlignment="1">
      <alignment vertical="center" wrapText="1"/>
    </xf>
    <xf numFmtId="0" fontId="4" fillId="0" borderId="19" xfId="0" applyFont="1" applyBorder="1"/>
    <xf numFmtId="0" fontId="14" fillId="0" borderId="20" xfId="0" applyFont="1" applyBorder="1" applyAlignment="1">
      <alignment vertical="center" wrapText="1"/>
    </xf>
    <xf numFmtId="0" fontId="1" fillId="4" borderId="15" xfId="0" applyFont="1" applyFill="1" applyBorder="1" applyAlignment="1">
      <alignment horizontal="center" vertical="center" wrapText="1"/>
    </xf>
    <xf numFmtId="3" fontId="1" fillId="4" borderId="21" xfId="0" applyNumberFormat="1" applyFont="1" applyFill="1" applyBorder="1" applyAlignment="1">
      <alignment horizontal="center" vertical="center" wrapText="1"/>
    </xf>
    <xf numFmtId="3" fontId="8" fillId="0" borderId="10" xfId="0" applyNumberFormat="1" applyFont="1" applyBorder="1" applyAlignment="1">
      <alignment horizontal="right"/>
    </xf>
    <xf numFmtId="0" fontId="14" fillId="0" borderId="4" xfId="0" applyFont="1" applyBorder="1" applyAlignment="1">
      <alignment vertical="center" wrapText="1"/>
    </xf>
    <xf numFmtId="0" fontId="18" fillId="3" borderId="4" xfId="0" applyFont="1" applyFill="1" applyBorder="1" applyAlignment="1">
      <alignment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 wrapText="1"/>
    </xf>
    <xf numFmtId="0" fontId="17" fillId="0" borderId="4" xfId="0" applyFont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/>
    </xf>
    <xf numFmtId="4" fontId="5" fillId="0" borderId="2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3" fontId="5" fillId="0" borderId="6" xfId="0" applyNumberFormat="1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4" fontId="5" fillId="0" borderId="6" xfId="0" applyNumberFormat="1" applyFont="1" applyBorder="1" applyAlignment="1">
      <alignment horizontal="center"/>
    </xf>
    <xf numFmtId="4" fontId="5" fillId="0" borderId="3" xfId="0" applyNumberFormat="1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3" fontId="5" fillId="0" borderId="16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4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vertical="center"/>
    </xf>
    <xf numFmtId="0" fontId="24" fillId="0" borderId="6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3" fontId="13" fillId="0" borderId="1" xfId="0" applyNumberFormat="1" applyFont="1" applyBorder="1" applyAlignment="1">
      <alignment horizontal="center" vertical="center" wrapText="1"/>
    </xf>
    <xf numFmtId="3" fontId="13" fillId="0" borderId="2" xfId="0" applyNumberFormat="1" applyFont="1" applyBorder="1" applyAlignment="1">
      <alignment horizontal="center" vertical="center" wrapText="1"/>
    </xf>
    <xf numFmtId="3" fontId="11" fillId="0" borderId="6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3" fontId="13" fillId="0" borderId="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3" fontId="5" fillId="0" borderId="10" xfId="0" applyNumberFormat="1" applyFont="1" applyBorder="1" applyAlignment="1">
      <alignment horizontal="right"/>
    </xf>
    <xf numFmtId="3" fontId="5" fillId="0" borderId="12" xfId="0" applyNumberFormat="1" applyFont="1" applyBorder="1" applyAlignment="1">
      <alignment horizontal="right" vertical="center"/>
    </xf>
    <xf numFmtId="3" fontId="5" fillId="0" borderId="21" xfId="0" applyNumberFormat="1" applyFont="1" applyBorder="1" applyAlignment="1">
      <alignment horizontal="right" vertical="center"/>
    </xf>
    <xf numFmtId="3" fontId="24" fillId="2" borderId="8" xfId="0" applyNumberFormat="1" applyFont="1" applyFill="1" applyBorder="1" applyAlignment="1">
      <alignment horizontal="center" vertical="center"/>
    </xf>
    <xf numFmtId="3" fontId="5" fillId="0" borderId="12" xfId="0" applyNumberFormat="1" applyFont="1" applyBorder="1" applyAlignment="1">
      <alignment vertical="top"/>
    </xf>
    <xf numFmtId="3" fontId="5" fillId="0" borderId="14" xfId="0" applyNumberFormat="1" applyFont="1" applyBorder="1" applyAlignment="1">
      <alignment vertical="top"/>
    </xf>
    <xf numFmtId="3" fontId="5" fillId="0" borderId="10" xfId="0" applyNumberFormat="1" applyFont="1" applyBorder="1" applyAlignment="1">
      <alignment vertical="top"/>
    </xf>
    <xf numFmtId="3" fontId="5" fillId="0" borderId="8" xfId="0" applyNumberFormat="1" applyFont="1" applyBorder="1" applyAlignment="1">
      <alignment vertical="top"/>
    </xf>
    <xf numFmtId="0" fontId="4" fillId="0" borderId="22" xfId="0" applyFont="1" applyBorder="1"/>
    <xf numFmtId="0" fontId="5" fillId="7" borderId="11" xfId="0" applyFont="1" applyFill="1" applyBorder="1"/>
    <xf numFmtId="3" fontId="5" fillId="0" borderId="12" xfId="0" applyNumberFormat="1" applyFont="1" applyBorder="1" applyAlignment="1">
      <alignment vertical="center"/>
    </xf>
    <xf numFmtId="3" fontId="24" fillId="2" borderId="12" xfId="0" applyNumberFormat="1" applyFont="1" applyFill="1" applyBorder="1" applyAlignment="1">
      <alignment horizontal="center" vertical="center"/>
    </xf>
    <xf numFmtId="3" fontId="24" fillId="2" borderId="8" xfId="0" applyNumberFormat="1" applyFont="1" applyFill="1" applyBorder="1" applyAlignment="1">
      <alignment horizontal="center" vertical="top"/>
    </xf>
    <xf numFmtId="0" fontId="3" fillId="7" borderId="11" xfId="0" applyFont="1" applyFill="1" applyBorder="1"/>
    <xf numFmtId="0" fontId="27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9" fillId="0" borderId="0" xfId="0" applyFont="1"/>
    <xf numFmtId="0" fontId="5" fillId="0" borderId="23" xfId="0" applyFont="1" applyBorder="1"/>
    <xf numFmtId="0" fontId="4" fillId="0" borderId="24" xfId="0" applyFont="1" applyBorder="1"/>
    <xf numFmtId="0" fontId="5" fillId="0" borderId="24" xfId="0" applyFont="1" applyBorder="1" applyAlignment="1">
      <alignment horizontal="center"/>
    </xf>
    <xf numFmtId="3" fontId="5" fillId="0" borderId="24" xfId="0" applyNumberFormat="1" applyFont="1" applyBorder="1" applyAlignment="1">
      <alignment horizontal="center"/>
    </xf>
    <xf numFmtId="3" fontId="5" fillId="0" borderId="24" xfId="0" applyNumberFormat="1" applyFont="1" applyBorder="1" applyAlignment="1">
      <alignment horizontal="center" vertical="center"/>
    </xf>
    <xf numFmtId="3" fontId="24" fillId="5" borderId="25" xfId="0" applyNumberFormat="1" applyFont="1" applyFill="1" applyBorder="1" applyAlignment="1">
      <alignment horizontal="center" vertical="center"/>
    </xf>
    <xf numFmtId="0" fontId="4" fillId="0" borderId="26" xfId="0" applyFont="1" applyBorder="1" applyAlignment="1">
      <alignment vertical="center"/>
    </xf>
    <xf numFmtId="0" fontId="5" fillId="0" borderId="27" xfId="0" applyFont="1" applyBorder="1" applyAlignment="1">
      <alignment horizontal="center" vertical="center"/>
    </xf>
    <xf numFmtId="3" fontId="5" fillId="0" borderId="27" xfId="0" applyNumberFormat="1" applyFont="1" applyBorder="1" applyAlignment="1">
      <alignment horizontal="center" vertical="center"/>
    </xf>
    <xf numFmtId="3" fontId="5" fillId="0" borderId="28" xfId="0" applyNumberFormat="1" applyFont="1" applyBorder="1" applyAlignment="1">
      <alignment horizontal="center" vertical="center"/>
    </xf>
    <xf numFmtId="3" fontId="2" fillId="6" borderId="29" xfId="0" applyNumberFormat="1" applyFont="1" applyFill="1" applyBorder="1" applyAlignment="1">
      <alignment horizontal="center" vertical="center"/>
    </xf>
    <xf numFmtId="0" fontId="4" fillId="0" borderId="30" xfId="0" applyFont="1" applyBorder="1" applyAlignment="1">
      <alignment vertical="center"/>
    </xf>
    <xf numFmtId="3" fontId="2" fillId="6" borderId="31" xfId="0" applyNumberFormat="1" applyFont="1" applyFill="1" applyBorder="1" applyAlignment="1">
      <alignment horizontal="center" vertical="center"/>
    </xf>
    <xf numFmtId="0" fontId="30" fillId="0" borderId="27" xfId="0" applyFont="1" applyBorder="1" applyAlignment="1">
      <alignment vertical="center"/>
    </xf>
    <xf numFmtId="0" fontId="30" fillId="0" borderId="16" xfId="0" applyFont="1" applyBorder="1" applyAlignment="1">
      <alignment vertical="center"/>
    </xf>
    <xf numFmtId="0" fontId="31" fillId="0" borderId="0" xfId="0" applyFont="1"/>
    <xf numFmtId="0" fontId="4" fillId="0" borderId="32" xfId="0" applyFont="1" applyBorder="1"/>
    <xf numFmtId="0" fontId="4" fillId="0" borderId="33" xfId="0" applyFont="1" applyBorder="1"/>
    <xf numFmtId="0" fontId="5" fillId="0" borderId="33" xfId="0" applyFont="1" applyBorder="1" applyAlignment="1">
      <alignment horizontal="center"/>
    </xf>
    <xf numFmtId="3" fontId="5" fillId="0" borderId="33" xfId="0" applyNumberFormat="1" applyFont="1" applyBorder="1" applyAlignment="1">
      <alignment horizontal="center"/>
    </xf>
    <xf numFmtId="3" fontId="5" fillId="0" borderId="33" xfId="0" applyNumberFormat="1" applyFont="1" applyBorder="1" applyAlignment="1">
      <alignment horizontal="center" vertical="center"/>
    </xf>
    <xf numFmtId="3" fontId="5" fillId="0" borderId="34" xfId="0" applyNumberFormat="1" applyFont="1" applyBorder="1" applyAlignment="1">
      <alignment vertical="top"/>
    </xf>
    <xf numFmtId="0" fontId="4" fillId="0" borderId="35" xfId="0" applyFont="1" applyBorder="1" applyAlignment="1">
      <alignment vertical="center"/>
    </xf>
    <xf numFmtId="0" fontId="30" fillId="0" borderId="36" xfId="0" applyFont="1" applyBorder="1" applyAlignment="1">
      <alignment vertical="center"/>
    </xf>
    <xf numFmtId="0" fontId="5" fillId="0" borderId="36" xfId="0" applyFont="1" applyBorder="1" applyAlignment="1">
      <alignment horizontal="center" vertical="center"/>
    </xf>
    <xf numFmtId="3" fontId="5" fillId="0" borderId="36" xfId="0" applyNumberFormat="1" applyFont="1" applyBorder="1" applyAlignment="1">
      <alignment horizontal="center" vertical="center"/>
    </xf>
    <xf numFmtId="3" fontId="5" fillId="0" borderId="37" xfId="0" applyNumberFormat="1" applyFont="1" applyBorder="1" applyAlignment="1">
      <alignment horizontal="center" vertical="center"/>
    </xf>
    <xf numFmtId="3" fontId="2" fillId="6" borderId="38" xfId="0" applyNumberFormat="1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vertical="center"/>
    </xf>
    <xf numFmtId="0" fontId="30" fillId="2" borderId="40" xfId="0" applyFont="1" applyFill="1" applyBorder="1" applyAlignment="1">
      <alignment vertical="center"/>
    </xf>
    <xf numFmtId="0" fontId="5" fillId="2" borderId="40" xfId="0" applyFont="1" applyFill="1" applyBorder="1" applyAlignment="1">
      <alignment horizontal="center" vertical="center"/>
    </xf>
    <xf numFmtId="3" fontId="5" fillId="2" borderId="40" xfId="0" applyNumberFormat="1" applyFont="1" applyFill="1" applyBorder="1" applyAlignment="1">
      <alignment horizontal="center" vertical="center"/>
    </xf>
    <xf numFmtId="3" fontId="5" fillId="2" borderId="41" xfId="0" applyNumberFormat="1" applyFont="1" applyFill="1" applyBorder="1" applyAlignment="1">
      <alignment horizontal="center" vertical="center"/>
    </xf>
    <xf numFmtId="3" fontId="2" fillId="2" borderId="42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8"/>
  <sheetViews>
    <sheetView tabSelected="1" topLeftCell="A264" workbookViewId="0">
      <selection activeCell="H279" sqref="H279"/>
    </sheetView>
  </sheetViews>
  <sheetFormatPr baseColWidth="10" defaultRowHeight="13.8" x14ac:dyDescent="0.25"/>
  <cols>
    <col min="1" max="1" width="7.5546875" style="2" customWidth="1"/>
    <col min="2" max="2" width="81.5546875" style="2" customWidth="1"/>
    <col min="3" max="4" width="16.77734375" style="2" customWidth="1"/>
    <col min="5" max="5" width="16.77734375" style="129" customWidth="1"/>
    <col min="6" max="6" width="21.77734375" style="142" customWidth="1"/>
    <col min="7" max="7" width="11.5546875" style="2"/>
    <col min="8" max="8" width="12.6640625" style="2" bestFit="1" customWidth="1"/>
    <col min="9" max="9" width="11.5546875" style="2"/>
    <col min="10" max="10" width="21.44140625" style="2" customWidth="1"/>
    <col min="11" max="16384" width="11.5546875" style="2"/>
  </cols>
  <sheetData>
    <row r="1" spans="1:9" x14ac:dyDescent="0.25">
      <c r="F1" s="142" t="s">
        <v>276</v>
      </c>
    </row>
    <row r="3" spans="1:9" ht="20.399999999999999" x14ac:dyDescent="0.35">
      <c r="A3" s="196" t="s">
        <v>268</v>
      </c>
      <c r="B3" s="196"/>
      <c r="C3" s="196"/>
      <c r="D3" s="196"/>
      <c r="E3" s="196"/>
      <c r="F3" s="196"/>
    </row>
    <row r="4" spans="1:9" ht="15.6" customHeight="1" x14ac:dyDescent="0.35">
      <c r="A4" s="157" t="s">
        <v>301</v>
      </c>
      <c r="B4" s="117"/>
      <c r="C4" s="117"/>
      <c r="D4" s="117"/>
      <c r="E4" s="117"/>
      <c r="F4" s="117"/>
    </row>
    <row r="5" spans="1:9" ht="14.4" thickBot="1" x14ac:dyDescent="0.3"/>
    <row r="6" spans="1:9" ht="24.6" customHeight="1" thickTop="1" thickBot="1" x14ac:dyDescent="0.3">
      <c r="A6" s="118" t="s">
        <v>261</v>
      </c>
      <c r="B6" s="119" t="s">
        <v>260</v>
      </c>
      <c r="C6" s="120" t="s">
        <v>273</v>
      </c>
      <c r="D6" s="120" t="s">
        <v>274</v>
      </c>
      <c r="E6" s="120" t="s">
        <v>275</v>
      </c>
      <c r="F6" s="121" t="s">
        <v>272</v>
      </c>
    </row>
    <row r="7" spans="1:9" ht="16.2" thickTop="1" x14ac:dyDescent="0.3">
      <c r="A7" s="62" t="s">
        <v>1</v>
      </c>
      <c r="B7" s="122" t="s">
        <v>2</v>
      </c>
      <c r="C7" s="34"/>
      <c r="D7" s="33"/>
      <c r="E7" s="130"/>
      <c r="F7" s="63"/>
    </row>
    <row r="8" spans="1:9" ht="16.2" customHeight="1" x14ac:dyDescent="0.3">
      <c r="A8" s="64"/>
      <c r="B8" s="123" t="s">
        <v>269</v>
      </c>
      <c r="C8" s="19" t="s">
        <v>143</v>
      </c>
      <c r="D8" s="4">
        <v>1</v>
      </c>
      <c r="E8" s="131">
        <v>25000000</v>
      </c>
      <c r="F8" s="65">
        <v>25000000</v>
      </c>
      <c r="I8" s="142"/>
    </row>
    <row r="9" spans="1:9" ht="15.6" x14ac:dyDescent="0.3">
      <c r="A9" s="64"/>
      <c r="B9" s="6" t="s">
        <v>270</v>
      </c>
      <c r="C9" s="19" t="s">
        <v>143</v>
      </c>
      <c r="D9" s="4">
        <v>1</v>
      </c>
      <c r="E9" s="131">
        <v>8750000</v>
      </c>
      <c r="F9" s="65">
        <v>8750000</v>
      </c>
    </row>
    <row r="10" spans="1:9" ht="15.6" x14ac:dyDescent="0.3">
      <c r="A10" s="64"/>
      <c r="B10" s="6" t="s">
        <v>271</v>
      </c>
      <c r="C10" s="19" t="s">
        <v>143</v>
      </c>
      <c r="D10" s="4">
        <v>1</v>
      </c>
      <c r="E10" s="131">
        <v>3750000</v>
      </c>
      <c r="F10" s="65">
        <v>3750000</v>
      </c>
    </row>
    <row r="11" spans="1:9" ht="16.8" customHeight="1" x14ac:dyDescent="0.35">
      <c r="A11" s="64"/>
      <c r="B11" s="37" t="s">
        <v>241</v>
      </c>
      <c r="C11" s="7"/>
      <c r="D11" s="4"/>
      <c r="E11" s="131"/>
      <c r="F11" s="65"/>
    </row>
    <row r="12" spans="1:9" ht="18.600000000000001" x14ac:dyDescent="0.3">
      <c r="A12" s="66"/>
      <c r="B12" s="6" t="s">
        <v>242</v>
      </c>
      <c r="C12" s="8" t="s">
        <v>264</v>
      </c>
      <c r="D12" s="103">
        <v>2500</v>
      </c>
      <c r="E12" s="131">
        <v>6000</v>
      </c>
      <c r="F12" s="144">
        <f>E12*D12</f>
        <v>15000000</v>
      </c>
      <c r="I12" s="30"/>
    </row>
    <row r="13" spans="1:9" ht="19.2" thickBot="1" x14ac:dyDescent="0.35">
      <c r="A13" s="68"/>
      <c r="B13" s="48" t="s">
        <v>4</v>
      </c>
      <c r="C13" s="8" t="s">
        <v>264</v>
      </c>
      <c r="D13" s="104">
        <v>100</v>
      </c>
      <c r="E13" s="138">
        <v>7000</v>
      </c>
      <c r="F13" s="145">
        <f>E13*D13</f>
        <v>700000</v>
      </c>
    </row>
    <row r="14" spans="1:9" ht="17.399999999999999" thickTop="1" thickBot="1" x14ac:dyDescent="0.35">
      <c r="A14" s="49"/>
      <c r="B14" s="50" t="s">
        <v>277</v>
      </c>
      <c r="C14" s="51"/>
      <c r="D14" s="46"/>
      <c r="E14" s="132"/>
      <c r="F14" s="146">
        <f>SUM(F8:F13)</f>
        <v>53200000</v>
      </c>
    </row>
    <row r="15" spans="1:9" ht="17.399999999999999" thickTop="1" x14ac:dyDescent="0.3">
      <c r="A15" s="62" t="s">
        <v>5</v>
      </c>
      <c r="B15" s="61" t="s">
        <v>250</v>
      </c>
      <c r="C15" s="34"/>
      <c r="D15" s="33"/>
      <c r="E15" s="130"/>
      <c r="F15" s="143"/>
    </row>
    <row r="16" spans="1:9" ht="18.600000000000001" x14ac:dyDescent="0.3">
      <c r="A16" s="66"/>
      <c r="B16" s="6" t="s">
        <v>6</v>
      </c>
      <c r="C16" s="8" t="s">
        <v>264</v>
      </c>
      <c r="D16" s="105">
        <v>100</v>
      </c>
      <c r="E16" s="131">
        <v>90000</v>
      </c>
      <c r="F16" s="147">
        <f>E16*D16</f>
        <v>9000000</v>
      </c>
    </row>
    <row r="17" spans="1:6" ht="15.6" x14ac:dyDescent="0.3">
      <c r="A17" s="66"/>
      <c r="B17" s="6" t="s">
        <v>7</v>
      </c>
      <c r="C17" s="8" t="s">
        <v>10</v>
      </c>
      <c r="D17" s="106">
        <v>12600</v>
      </c>
      <c r="E17" s="131">
        <v>1452</v>
      </c>
      <c r="F17" s="147">
        <f t="shared" ref="F17:F22" si="0">E17*D17</f>
        <v>18295200</v>
      </c>
    </row>
    <row r="18" spans="1:6" ht="18.600000000000001" x14ac:dyDescent="0.3">
      <c r="A18" s="66"/>
      <c r="B18" s="6" t="s">
        <v>8</v>
      </c>
      <c r="C18" s="8" t="s">
        <v>264</v>
      </c>
      <c r="D18" s="105">
        <v>105</v>
      </c>
      <c r="E18" s="131">
        <v>118500</v>
      </c>
      <c r="F18" s="147">
        <f t="shared" si="0"/>
        <v>12442500</v>
      </c>
    </row>
    <row r="19" spans="1:6" ht="15.6" x14ac:dyDescent="0.3">
      <c r="A19" s="66"/>
      <c r="B19" s="6" t="s">
        <v>99</v>
      </c>
      <c r="C19" s="8" t="s">
        <v>10</v>
      </c>
      <c r="D19" s="4">
        <v>20250</v>
      </c>
      <c r="E19" s="131">
        <v>1452</v>
      </c>
      <c r="F19" s="147">
        <f t="shared" si="0"/>
        <v>29403000</v>
      </c>
    </row>
    <row r="20" spans="1:6" ht="15.6" x14ac:dyDescent="0.3">
      <c r="A20" s="66"/>
      <c r="B20" s="6" t="s">
        <v>102</v>
      </c>
      <c r="C20" s="8" t="s">
        <v>11</v>
      </c>
      <c r="D20" s="103">
        <v>1195</v>
      </c>
      <c r="E20" s="131">
        <v>14800</v>
      </c>
      <c r="F20" s="147">
        <f t="shared" si="0"/>
        <v>17686000</v>
      </c>
    </row>
    <row r="21" spans="1:6" ht="18.600000000000001" x14ac:dyDescent="0.3">
      <c r="A21" s="66"/>
      <c r="B21" s="6" t="s">
        <v>103</v>
      </c>
      <c r="C21" s="8" t="s">
        <v>264</v>
      </c>
      <c r="D21" s="103">
        <v>180</v>
      </c>
      <c r="E21" s="131">
        <v>118500</v>
      </c>
      <c r="F21" s="147">
        <f t="shared" si="0"/>
        <v>21330000</v>
      </c>
    </row>
    <row r="22" spans="1:6" ht="15.6" x14ac:dyDescent="0.3">
      <c r="A22" s="66"/>
      <c r="B22" s="6" t="s">
        <v>98</v>
      </c>
      <c r="C22" s="8" t="s">
        <v>10</v>
      </c>
      <c r="D22" s="4">
        <v>20000</v>
      </c>
      <c r="E22" s="131">
        <v>1452</v>
      </c>
      <c r="F22" s="147">
        <f t="shared" si="0"/>
        <v>29040000</v>
      </c>
    </row>
    <row r="23" spans="1:6" ht="15.6" x14ac:dyDescent="0.3">
      <c r="A23" s="66"/>
      <c r="B23" s="3" t="s">
        <v>222</v>
      </c>
      <c r="C23" s="8"/>
      <c r="D23" s="4"/>
      <c r="E23" s="131"/>
      <c r="F23" s="147"/>
    </row>
    <row r="24" spans="1:6" ht="15.6" x14ac:dyDescent="0.3">
      <c r="A24" s="66"/>
      <c r="B24" s="3" t="s">
        <v>104</v>
      </c>
      <c r="C24" s="8"/>
      <c r="D24" s="8"/>
      <c r="E24" s="131"/>
      <c r="F24" s="147"/>
    </row>
    <row r="25" spans="1:6" ht="18.600000000000001" x14ac:dyDescent="0.3">
      <c r="A25" s="66"/>
      <c r="B25" s="1" t="s">
        <v>100</v>
      </c>
      <c r="C25" s="8" t="s">
        <v>265</v>
      </c>
      <c r="D25" s="105">
        <v>2180</v>
      </c>
      <c r="E25" s="131">
        <v>8250</v>
      </c>
      <c r="F25" s="147">
        <f>E25*D25</f>
        <v>17985000</v>
      </c>
    </row>
    <row r="26" spans="1:6" ht="18.600000000000001" x14ac:dyDescent="0.3">
      <c r="A26" s="66"/>
      <c r="B26" s="6" t="s">
        <v>26</v>
      </c>
      <c r="C26" s="8" t="s">
        <v>265</v>
      </c>
      <c r="D26" s="105">
        <v>200</v>
      </c>
      <c r="E26" s="131">
        <v>5800</v>
      </c>
      <c r="F26" s="147">
        <f t="shared" ref="F26:F33" si="1">E26*D26</f>
        <v>1160000</v>
      </c>
    </row>
    <row r="27" spans="1:6" ht="15.6" x14ac:dyDescent="0.3">
      <c r="A27" s="66"/>
      <c r="B27" s="6" t="s">
        <v>27</v>
      </c>
      <c r="C27" s="8" t="s">
        <v>0</v>
      </c>
      <c r="D27" s="8">
        <v>900</v>
      </c>
      <c r="E27" s="131">
        <v>4280</v>
      </c>
      <c r="F27" s="147">
        <f t="shared" si="1"/>
        <v>3852000</v>
      </c>
    </row>
    <row r="28" spans="1:6" ht="15.6" x14ac:dyDescent="0.3">
      <c r="A28" s="66"/>
      <c r="B28" s="6" t="s">
        <v>101</v>
      </c>
      <c r="C28" s="8" t="s">
        <v>0</v>
      </c>
      <c r="D28" s="4">
        <v>1000</v>
      </c>
      <c r="E28" s="131">
        <v>6300</v>
      </c>
      <c r="F28" s="147">
        <f t="shared" si="1"/>
        <v>6300000</v>
      </c>
    </row>
    <row r="29" spans="1:6" ht="18.600000000000001" x14ac:dyDescent="0.3">
      <c r="A29" s="66"/>
      <c r="B29" s="1" t="s">
        <v>97</v>
      </c>
      <c r="C29" s="8" t="s">
        <v>264</v>
      </c>
      <c r="D29" s="105">
        <v>250</v>
      </c>
      <c r="E29" s="131">
        <v>118500</v>
      </c>
      <c r="F29" s="147">
        <f t="shared" si="1"/>
        <v>29625000</v>
      </c>
    </row>
    <row r="30" spans="1:6" ht="18.600000000000001" x14ac:dyDescent="0.3">
      <c r="A30" s="66"/>
      <c r="B30" s="6" t="s">
        <v>105</v>
      </c>
      <c r="C30" s="8" t="s">
        <v>264</v>
      </c>
      <c r="D30" s="105">
        <v>600</v>
      </c>
      <c r="E30" s="131">
        <v>23000</v>
      </c>
      <c r="F30" s="147">
        <f t="shared" si="1"/>
        <v>13800000</v>
      </c>
    </row>
    <row r="31" spans="1:6" ht="15.6" x14ac:dyDescent="0.3">
      <c r="A31" s="66"/>
      <c r="B31" s="6" t="s">
        <v>120</v>
      </c>
      <c r="C31" s="8" t="s">
        <v>11</v>
      </c>
      <c r="D31" s="105">
        <v>8700</v>
      </c>
      <c r="E31" s="131">
        <v>3260</v>
      </c>
      <c r="F31" s="147">
        <f t="shared" si="1"/>
        <v>28362000</v>
      </c>
    </row>
    <row r="32" spans="1:6" ht="15.6" x14ac:dyDescent="0.3">
      <c r="A32" s="66"/>
      <c r="B32" s="6" t="s">
        <v>12</v>
      </c>
      <c r="C32" s="8" t="s">
        <v>10</v>
      </c>
      <c r="D32" s="106">
        <v>10030</v>
      </c>
      <c r="E32" s="131">
        <v>1452</v>
      </c>
      <c r="F32" s="147">
        <f t="shared" si="1"/>
        <v>14563560</v>
      </c>
    </row>
    <row r="33" spans="1:8" ht="18.600000000000001" x14ac:dyDescent="0.3">
      <c r="A33" s="66"/>
      <c r="B33" s="6" t="s">
        <v>119</v>
      </c>
      <c r="C33" s="8" t="s">
        <v>264</v>
      </c>
      <c r="D33" s="105">
        <v>1050</v>
      </c>
      <c r="E33" s="131">
        <v>90000</v>
      </c>
      <c r="F33" s="147">
        <f t="shared" si="1"/>
        <v>94500000</v>
      </c>
    </row>
    <row r="34" spans="1:8" ht="15.6" x14ac:dyDescent="0.3">
      <c r="A34" s="66"/>
      <c r="B34" s="3" t="s">
        <v>106</v>
      </c>
      <c r="C34" s="8"/>
      <c r="D34" s="4"/>
      <c r="E34" s="131"/>
      <c r="F34" s="147"/>
    </row>
    <row r="35" spans="1:8" ht="15.6" x14ac:dyDescent="0.3">
      <c r="A35" s="66"/>
      <c r="B35" s="10" t="s">
        <v>107</v>
      </c>
      <c r="C35" s="8"/>
      <c r="D35" s="4"/>
      <c r="E35" s="131"/>
      <c r="F35" s="147"/>
    </row>
    <row r="36" spans="1:8" ht="18.600000000000001" x14ac:dyDescent="0.3">
      <c r="A36" s="66"/>
      <c r="B36" s="6" t="s">
        <v>24</v>
      </c>
      <c r="C36" s="8" t="s">
        <v>265</v>
      </c>
      <c r="D36" s="103">
        <v>250</v>
      </c>
      <c r="E36" s="131">
        <v>6300</v>
      </c>
      <c r="F36" s="147">
        <f>E36*D36</f>
        <v>1575000</v>
      </c>
    </row>
    <row r="37" spans="1:8" ht="18.600000000000001" x14ac:dyDescent="0.3">
      <c r="A37" s="66"/>
      <c r="B37" s="6" t="s">
        <v>25</v>
      </c>
      <c r="C37" s="8" t="s">
        <v>265</v>
      </c>
      <c r="D37" s="103">
        <v>5000</v>
      </c>
      <c r="E37" s="131">
        <v>5800</v>
      </c>
      <c r="F37" s="147">
        <f t="shared" ref="F37:F44" si="2">E37*D37</f>
        <v>29000000</v>
      </c>
    </row>
    <row r="38" spans="1:8" ht="18.600000000000001" x14ac:dyDescent="0.3">
      <c r="A38" s="66"/>
      <c r="B38" s="6" t="s">
        <v>26</v>
      </c>
      <c r="C38" s="8" t="s">
        <v>265</v>
      </c>
      <c r="D38" s="103">
        <v>308</v>
      </c>
      <c r="E38" s="131">
        <v>5300</v>
      </c>
      <c r="F38" s="147">
        <f t="shared" si="2"/>
        <v>1632400</v>
      </c>
    </row>
    <row r="39" spans="1:8" ht="15.6" x14ac:dyDescent="0.3">
      <c r="A39" s="66"/>
      <c r="B39" s="6" t="s">
        <v>27</v>
      </c>
      <c r="C39" s="8" t="s">
        <v>0</v>
      </c>
      <c r="D39" s="4">
        <v>3000</v>
      </c>
      <c r="E39" s="131">
        <v>4280</v>
      </c>
      <c r="F39" s="147">
        <f t="shared" si="2"/>
        <v>12840000</v>
      </c>
    </row>
    <row r="40" spans="1:8" ht="15.6" x14ac:dyDescent="0.3">
      <c r="A40" s="66"/>
      <c r="B40" s="6" t="s">
        <v>28</v>
      </c>
      <c r="C40" s="8" t="s">
        <v>0</v>
      </c>
      <c r="D40" s="4">
        <v>100</v>
      </c>
      <c r="E40" s="131">
        <v>6850</v>
      </c>
      <c r="F40" s="147">
        <f t="shared" si="2"/>
        <v>685000</v>
      </c>
      <c r="H40" s="30"/>
    </row>
    <row r="41" spans="1:8" ht="15.6" x14ac:dyDescent="0.3">
      <c r="A41" s="66"/>
      <c r="B41" s="6" t="s">
        <v>29</v>
      </c>
      <c r="C41" s="8" t="s">
        <v>0</v>
      </c>
      <c r="D41" s="8">
        <v>19000</v>
      </c>
      <c r="E41" s="131">
        <v>1350</v>
      </c>
      <c r="F41" s="147">
        <f t="shared" si="2"/>
        <v>25650000</v>
      </c>
    </row>
    <row r="42" spans="1:8" ht="18.600000000000001" x14ac:dyDescent="0.3">
      <c r="A42" s="66"/>
      <c r="B42" s="1" t="s">
        <v>31</v>
      </c>
      <c r="C42" s="8" t="s">
        <v>265</v>
      </c>
      <c r="D42" s="103">
        <v>9180</v>
      </c>
      <c r="E42" s="131">
        <v>8750</v>
      </c>
      <c r="F42" s="147">
        <f t="shared" si="2"/>
        <v>80325000</v>
      </c>
    </row>
    <row r="43" spans="1:8" ht="15.6" x14ac:dyDescent="0.3">
      <c r="A43" s="66"/>
      <c r="B43" s="1" t="s">
        <v>32</v>
      </c>
      <c r="C43" s="8" t="s">
        <v>10</v>
      </c>
      <c r="D43" s="4">
        <v>40000</v>
      </c>
      <c r="E43" s="131">
        <v>1452</v>
      </c>
      <c r="F43" s="147">
        <f t="shared" si="2"/>
        <v>58080000</v>
      </c>
    </row>
    <row r="44" spans="1:8" ht="18.600000000000001" x14ac:dyDescent="0.3">
      <c r="A44" s="66"/>
      <c r="B44" s="6" t="s">
        <v>33</v>
      </c>
      <c r="C44" s="8" t="s">
        <v>264</v>
      </c>
      <c r="D44" s="103">
        <v>570</v>
      </c>
      <c r="E44" s="131">
        <v>118500</v>
      </c>
      <c r="F44" s="147">
        <f t="shared" si="2"/>
        <v>67545000</v>
      </c>
    </row>
    <row r="45" spans="1:8" ht="16.2" thickBot="1" x14ac:dyDescent="0.35">
      <c r="A45" s="68"/>
      <c r="B45" s="39" t="s">
        <v>34</v>
      </c>
      <c r="C45" s="57"/>
      <c r="D45" s="58"/>
      <c r="E45" s="133"/>
      <c r="F45" s="148"/>
    </row>
    <row r="46" spans="1:8" ht="17.399999999999999" thickTop="1" thickBot="1" x14ac:dyDescent="0.35">
      <c r="A46" s="49"/>
      <c r="B46" s="50" t="s">
        <v>127</v>
      </c>
      <c r="C46" s="51"/>
      <c r="D46" s="46"/>
      <c r="E46" s="134"/>
      <c r="F46" s="146">
        <f>SUM(F16:F44)</f>
        <v>624676660</v>
      </c>
    </row>
    <row r="47" spans="1:8" ht="21" thickTop="1" x14ac:dyDescent="0.35">
      <c r="A47" s="71"/>
      <c r="B47" s="60" t="s">
        <v>257</v>
      </c>
      <c r="C47" s="54"/>
      <c r="D47" s="33"/>
      <c r="E47" s="135"/>
      <c r="F47" s="149"/>
    </row>
    <row r="48" spans="1:8" ht="15.6" x14ac:dyDescent="0.3">
      <c r="A48" s="64" t="s">
        <v>13</v>
      </c>
      <c r="B48" s="3" t="s">
        <v>14</v>
      </c>
      <c r="C48" s="8"/>
      <c r="D48" s="4"/>
      <c r="E48" s="131"/>
      <c r="F48" s="147"/>
    </row>
    <row r="49" spans="1:6" ht="18.600000000000001" x14ac:dyDescent="0.3">
      <c r="A49" s="66"/>
      <c r="B49" s="6" t="s">
        <v>15</v>
      </c>
      <c r="C49" s="8" t="s">
        <v>265</v>
      </c>
      <c r="D49" s="103">
        <v>6000</v>
      </c>
      <c r="E49" s="131">
        <v>6350</v>
      </c>
      <c r="F49" s="147">
        <f>E49*D49</f>
        <v>38100000</v>
      </c>
    </row>
    <row r="50" spans="1:6" ht="15.6" x14ac:dyDescent="0.3">
      <c r="A50" s="66"/>
      <c r="B50" s="6" t="s">
        <v>16</v>
      </c>
      <c r="C50" s="8" t="s">
        <v>10</v>
      </c>
      <c r="D50" s="4">
        <v>23400</v>
      </c>
      <c r="E50" s="131">
        <v>1452</v>
      </c>
      <c r="F50" s="147">
        <f t="shared" ref="F50:F55" si="3">E50*D50</f>
        <v>33976800</v>
      </c>
    </row>
    <row r="51" spans="1:6" ht="15.6" x14ac:dyDescent="0.3">
      <c r="A51" s="66"/>
      <c r="B51" s="6" t="s">
        <v>17</v>
      </c>
      <c r="C51" s="8" t="s">
        <v>11</v>
      </c>
      <c r="D51" s="103">
        <v>2901</v>
      </c>
      <c r="E51" s="131">
        <v>14800</v>
      </c>
      <c r="F51" s="147">
        <f t="shared" si="3"/>
        <v>42934800</v>
      </c>
    </row>
    <row r="52" spans="1:6" ht="18.600000000000001" x14ac:dyDescent="0.3">
      <c r="A52" s="66"/>
      <c r="B52" s="6" t="s">
        <v>18</v>
      </c>
      <c r="C52" s="8" t="s">
        <v>264</v>
      </c>
      <c r="D52" s="103">
        <v>158</v>
      </c>
      <c r="E52" s="131">
        <v>118500</v>
      </c>
      <c r="F52" s="147">
        <f t="shared" si="3"/>
        <v>18723000</v>
      </c>
    </row>
    <row r="53" spans="1:6" ht="15.6" x14ac:dyDescent="0.3">
      <c r="A53" s="66"/>
      <c r="B53" s="6" t="s">
        <v>19</v>
      </c>
      <c r="C53" s="8" t="s">
        <v>10</v>
      </c>
      <c r="D53" s="4">
        <v>8160</v>
      </c>
      <c r="E53" s="131">
        <v>1452</v>
      </c>
      <c r="F53" s="147">
        <f t="shared" si="3"/>
        <v>11848320</v>
      </c>
    </row>
    <row r="54" spans="1:6" ht="18.600000000000001" x14ac:dyDescent="0.3">
      <c r="A54" s="66"/>
      <c r="B54" s="6" t="s">
        <v>20</v>
      </c>
      <c r="C54" s="8" t="s">
        <v>265</v>
      </c>
      <c r="D54" s="103">
        <v>900</v>
      </c>
      <c r="E54" s="131">
        <v>14800</v>
      </c>
      <c r="F54" s="147">
        <f t="shared" si="3"/>
        <v>13320000</v>
      </c>
    </row>
    <row r="55" spans="1:6" ht="18.600000000000001" x14ac:dyDescent="0.3">
      <c r="A55" s="66"/>
      <c r="B55" s="6" t="s">
        <v>21</v>
      </c>
      <c r="C55" s="8" t="s">
        <v>264</v>
      </c>
      <c r="D55" s="103">
        <v>68</v>
      </c>
      <c r="E55" s="131">
        <v>118500</v>
      </c>
      <c r="F55" s="147">
        <f t="shared" si="3"/>
        <v>8058000</v>
      </c>
    </row>
    <row r="56" spans="1:6" ht="15.6" x14ac:dyDescent="0.3">
      <c r="A56" s="66"/>
      <c r="B56" s="3" t="s">
        <v>22</v>
      </c>
      <c r="C56" s="11"/>
      <c r="D56" s="12"/>
      <c r="E56" s="136"/>
      <c r="F56" s="147"/>
    </row>
    <row r="57" spans="1:6" ht="15.6" x14ac:dyDescent="0.3">
      <c r="A57" s="66"/>
      <c r="B57" s="10" t="s">
        <v>23</v>
      </c>
      <c r="C57" s="8"/>
      <c r="D57" s="4"/>
      <c r="E57" s="131"/>
      <c r="F57" s="147"/>
    </row>
    <row r="58" spans="1:6" ht="18.600000000000001" x14ac:dyDescent="0.3">
      <c r="A58" s="66"/>
      <c r="B58" s="6" t="s">
        <v>24</v>
      </c>
      <c r="C58" s="8" t="s">
        <v>265</v>
      </c>
      <c r="D58" s="103">
        <v>250</v>
      </c>
      <c r="E58" s="131">
        <v>6300</v>
      </c>
      <c r="F58" s="147">
        <f>E58*D58</f>
        <v>1575000</v>
      </c>
    </row>
    <row r="59" spans="1:6" ht="18.600000000000001" x14ac:dyDescent="0.3">
      <c r="A59" s="66"/>
      <c r="B59" s="6" t="s">
        <v>25</v>
      </c>
      <c r="C59" s="8" t="s">
        <v>265</v>
      </c>
      <c r="D59" s="103">
        <v>5000</v>
      </c>
      <c r="E59" s="131">
        <v>5800</v>
      </c>
      <c r="F59" s="147">
        <f t="shared" ref="F59:F66" si="4">E59*D59</f>
        <v>29000000</v>
      </c>
    </row>
    <row r="60" spans="1:6" ht="18.600000000000001" x14ac:dyDescent="0.3">
      <c r="A60" s="66"/>
      <c r="B60" s="6" t="s">
        <v>26</v>
      </c>
      <c r="C60" s="8" t="s">
        <v>265</v>
      </c>
      <c r="D60" s="103">
        <v>308</v>
      </c>
      <c r="E60" s="131">
        <v>5300</v>
      </c>
      <c r="F60" s="147">
        <f t="shared" si="4"/>
        <v>1632400</v>
      </c>
    </row>
    <row r="61" spans="1:6" ht="15.6" x14ac:dyDescent="0.3">
      <c r="A61" s="66"/>
      <c r="B61" s="6" t="s">
        <v>27</v>
      </c>
      <c r="C61" s="8" t="s">
        <v>0</v>
      </c>
      <c r="D61" s="4">
        <v>3000</v>
      </c>
      <c r="E61" s="131">
        <v>4280</v>
      </c>
      <c r="F61" s="147">
        <f t="shared" si="4"/>
        <v>12840000</v>
      </c>
    </row>
    <row r="62" spans="1:6" ht="15.6" x14ac:dyDescent="0.3">
      <c r="A62" s="66"/>
      <c r="B62" s="6" t="s">
        <v>28</v>
      </c>
      <c r="C62" s="8" t="s">
        <v>0</v>
      </c>
      <c r="D62" s="4">
        <v>100</v>
      </c>
      <c r="E62" s="131">
        <v>6850</v>
      </c>
      <c r="F62" s="147">
        <f t="shared" si="4"/>
        <v>685000</v>
      </c>
    </row>
    <row r="63" spans="1:6" ht="15.6" x14ac:dyDescent="0.3">
      <c r="A63" s="66"/>
      <c r="B63" s="6" t="s">
        <v>29</v>
      </c>
      <c r="C63" s="8" t="s">
        <v>0</v>
      </c>
      <c r="D63" s="8">
        <v>19000</v>
      </c>
      <c r="E63" s="131">
        <v>1350</v>
      </c>
      <c r="F63" s="147">
        <f t="shared" si="4"/>
        <v>25650000</v>
      </c>
    </row>
    <row r="64" spans="1:6" ht="18.600000000000001" x14ac:dyDescent="0.3">
      <c r="A64" s="66"/>
      <c r="B64" s="1" t="s">
        <v>31</v>
      </c>
      <c r="C64" s="8" t="s">
        <v>265</v>
      </c>
      <c r="D64" s="103">
        <v>9180</v>
      </c>
      <c r="E64" s="131">
        <v>8750</v>
      </c>
      <c r="F64" s="147">
        <f t="shared" si="4"/>
        <v>80325000</v>
      </c>
    </row>
    <row r="65" spans="1:8" ht="15.6" x14ac:dyDescent="0.3">
      <c r="A65" s="66"/>
      <c r="B65" s="1" t="s">
        <v>32</v>
      </c>
      <c r="C65" s="8" t="s">
        <v>10</v>
      </c>
      <c r="D65" s="4">
        <v>40000</v>
      </c>
      <c r="E65" s="131">
        <v>1452</v>
      </c>
      <c r="F65" s="147">
        <f t="shared" si="4"/>
        <v>58080000</v>
      </c>
    </row>
    <row r="66" spans="1:8" ht="18.600000000000001" x14ac:dyDescent="0.3">
      <c r="A66" s="66"/>
      <c r="B66" s="6" t="s">
        <v>33</v>
      </c>
      <c r="C66" s="8" t="s">
        <v>264</v>
      </c>
      <c r="D66" s="103">
        <v>570</v>
      </c>
      <c r="E66" s="131">
        <v>118500</v>
      </c>
      <c r="F66" s="147">
        <f t="shared" si="4"/>
        <v>67545000</v>
      </c>
      <c r="H66" s="30"/>
    </row>
    <row r="67" spans="1:8" ht="16.2" thickBot="1" x14ac:dyDescent="0.35">
      <c r="A67" s="68"/>
      <c r="B67" s="39" t="s">
        <v>34</v>
      </c>
      <c r="C67" s="57"/>
      <c r="D67" s="58"/>
      <c r="E67" s="133"/>
      <c r="F67" s="148"/>
    </row>
    <row r="68" spans="1:8" ht="17.399999999999999" thickTop="1" thickBot="1" x14ac:dyDescent="0.35">
      <c r="A68" s="49"/>
      <c r="B68" s="50" t="s">
        <v>35</v>
      </c>
      <c r="C68" s="51"/>
      <c r="D68" s="46"/>
      <c r="E68" s="134"/>
      <c r="F68" s="146">
        <f>SUM(F49:F66)</f>
        <v>444293320</v>
      </c>
    </row>
    <row r="69" spans="1:8" ht="21" thickTop="1" x14ac:dyDescent="0.35">
      <c r="A69" s="62" t="s">
        <v>36</v>
      </c>
      <c r="B69" s="59" t="s">
        <v>37</v>
      </c>
      <c r="C69" s="54"/>
      <c r="D69" s="33"/>
      <c r="E69" s="135"/>
      <c r="F69" s="149"/>
    </row>
    <row r="70" spans="1:8" ht="18.600000000000001" x14ac:dyDescent="0.3">
      <c r="A70" s="66"/>
      <c r="B70" s="6" t="s">
        <v>15</v>
      </c>
      <c r="C70" s="8" t="s">
        <v>265</v>
      </c>
      <c r="D70" s="103">
        <v>6000</v>
      </c>
      <c r="E70" s="131">
        <v>6350</v>
      </c>
      <c r="F70" s="147">
        <f>E70*D70</f>
        <v>38100000</v>
      </c>
    </row>
    <row r="71" spans="1:8" ht="15.6" x14ac:dyDescent="0.3">
      <c r="A71" s="66"/>
      <c r="B71" s="6" t="s">
        <v>17</v>
      </c>
      <c r="C71" s="8" t="s">
        <v>11</v>
      </c>
      <c r="D71" s="103">
        <v>2500</v>
      </c>
      <c r="E71" s="131">
        <v>14800</v>
      </c>
      <c r="F71" s="147">
        <f t="shared" ref="F71:F77" si="5">E71*D71</f>
        <v>37000000</v>
      </c>
    </row>
    <row r="72" spans="1:8" ht="15.6" x14ac:dyDescent="0.3">
      <c r="A72" s="66"/>
      <c r="B72" s="6" t="s">
        <v>38</v>
      </c>
      <c r="C72" s="8" t="s">
        <v>10</v>
      </c>
      <c r="D72" s="4">
        <v>23400</v>
      </c>
      <c r="E72" s="131">
        <v>1452</v>
      </c>
      <c r="F72" s="147">
        <f t="shared" si="5"/>
        <v>33976800</v>
      </c>
    </row>
    <row r="73" spans="1:8" ht="18.600000000000001" x14ac:dyDescent="0.3">
      <c r="A73" s="66"/>
      <c r="B73" s="6" t="s">
        <v>39</v>
      </c>
      <c r="C73" s="8" t="s">
        <v>264</v>
      </c>
      <c r="D73" s="103">
        <v>158</v>
      </c>
      <c r="E73" s="131">
        <v>118500</v>
      </c>
      <c r="F73" s="147">
        <f t="shared" si="5"/>
        <v>18723000</v>
      </c>
    </row>
    <row r="74" spans="1:8" ht="15.6" x14ac:dyDescent="0.3">
      <c r="A74" s="66"/>
      <c r="B74" s="6" t="s">
        <v>108</v>
      </c>
      <c r="C74" s="8" t="s">
        <v>10</v>
      </c>
      <c r="D74" s="4">
        <v>8160</v>
      </c>
      <c r="E74" s="131">
        <v>1452</v>
      </c>
      <c r="F74" s="147">
        <f t="shared" si="5"/>
        <v>11848320</v>
      </c>
    </row>
    <row r="75" spans="1:8" ht="18.600000000000001" x14ac:dyDescent="0.3">
      <c r="A75" s="66"/>
      <c r="B75" s="6" t="s">
        <v>40</v>
      </c>
      <c r="C75" s="8" t="s">
        <v>264</v>
      </c>
      <c r="D75" s="103">
        <v>68</v>
      </c>
      <c r="E75" s="131">
        <v>118500</v>
      </c>
      <c r="F75" s="147">
        <f t="shared" si="5"/>
        <v>8058000</v>
      </c>
    </row>
    <row r="76" spans="1:8" ht="18.600000000000001" x14ac:dyDescent="0.3">
      <c r="A76" s="66"/>
      <c r="B76" s="6" t="s">
        <v>41</v>
      </c>
      <c r="C76" s="8" t="s">
        <v>265</v>
      </c>
      <c r="D76" s="103">
        <v>900</v>
      </c>
      <c r="E76" s="131">
        <v>14800</v>
      </c>
      <c r="F76" s="147">
        <f t="shared" si="5"/>
        <v>13320000</v>
      </c>
    </row>
    <row r="77" spans="1:8" ht="15.6" x14ac:dyDescent="0.3">
      <c r="A77" s="66"/>
      <c r="B77" s="6" t="s">
        <v>42</v>
      </c>
      <c r="C77" s="8" t="s">
        <v>11</v>
      </c>
      <c r="D77" s="103">
        <v>1680</v>
      </c>
      <c r="E77" s="131">
        <v>6350</v>
      </c>
      <c r="F77" s="147">
        <f t="shared" si="5"/>
        <v>10668000</v>
      </c>
    </row>
    <row r="78" spans="1:8" ht="15.6" x14ac:dyDescent="0.3">
      <c r="A78" s="66"/>
      <c r="B78" s="3" t="s">
        <v>43</v>
      </c>
      <c r="C78" s="11"/>
      <c r="D78" s="12"/>
      <c r="E78" s="136"/>
      <c r="F78" s="147"/>
    </row>
    <row r="79" spans="1:8" ht="15.6" x14ac:dyDescent="0.3">
      <c r="A79" s="66"/>
      <c r="B79" s="3" t="s">
        <v>23</v>
      </c>
      <c r="C79" s="8"/>
      <c r="D79" s="4"/>
      <c r="E79" s="131"/>
      <c r="F79" s="147"/>
    </row>
    <row r="80" spans="1:8" ht="18.600000000000001" x14ac:dyDescent="0.3">
      <c r="A80" s="66"/>
      <c r="B80" s="6" t="s">
        <v>24</v>
      </c>
      <c r="C80" s="8" t="s">
        <v>265</v>
      </c>
      <c r="D80" s="103">
        <v>2000</v>
      </c>
      <c r="E80" s="131">
        <v>6300</v>
      </c>
      <c r="F80" s="147">
        <f>E80*D80</f>
        <v>12600000</v>
      </c>
    </row>
    <row r="81" spans="1:8" ht="18.600000000000001" x14ac:dyDescent="0.3">
      <c r="A81" s="66"/>
      <c r="B81" s="6" t="s">
        <v>25</v>
      </c>
      <c r="C81" s="8" t="s">
        <v>265</v>
      </c>
      <c r="D81" s="103">
        <v>3000</v>
      </c>
      <c r="E81" s="131">
        <v>5800</v>
      </c>
      <c r="F81" s="147">
        <f t="shared" ref="F81:F89" si="6">E81*D81</f>
        <v>17400000</v>
      </c>
    </row>
    <row r="82" spans="1:8" ht="18.600000000000001" x14ac:dyDescent="0.3">
      <c r="A82" s="66"/>
      <c r="B82" s="6" t="s">
        <v>26</v>
      </c>
      <c r="C82" s="8" t="s">
        <v>265</v>
      </c>
      <c r="D82" s="103">
        <v>210</v>
      </c>
      <c r="E82" s="131">
        <v>5300</v>
      </c>
      <c r="F82" s="147">
        <f t="shared" si="6"/>
        <v>1113000</v>
      </c>
    </row>
    <row r="83" spans="1:8" ht="15.6" x14ac:dyDescent="0.3">
      <c r="A83" s="66"/>
      <c r="B83" s="6" t="s">
        <v>27</v>
      </c>
      <c r="C83" s="8" t="s">
        <v>0</v>
      </c>
      <c r="D83" s="4">
        <v>3000</v>
      </c>
      <c r="E83" s="131">
        <v>4280</v>
      </c>
      <c r="F83" s="147">
        <f t="shared" si="6"/>
        <v>12840000</v>
      </c>
    </row>
    <row r="84" spans="1:8" ht="15.6" x14ac:dyDescent="0.3">
      <c r="A84" s="66"/>
      <c r="B84" s="6" t="s">
        <v>28</v>
      </c>
      <c r="C84" s="8" t="s">
        <v>0</v>
      </c>
      <c r="D84" s="4">
        <v>100</v>
      </c>
      <c r="E84" s="131">
        <v>6850</v>
      </c>
      <c r="F84" s="147">
        <f t="shared" si="6"/>
        <v>685000</v>
      </c>
    </row>
    <row r="85" spans="1:8" ht="15.6" x14ac:dyDescent="0.3">
      <c r="A85" s="66"/>
      <c r="B85" s="6" t="s">
        <v>44</v>
      </c>
      <c r="C85" s="8" t="s">
        <v>0</v>
      </c>
      <c r="D85" s="4">
        <v>16201</v>
      </c>
      <c r="E85" s="131">
        <v>5250</v>
      </c>
      <c r="F85" s="147">
        <f t="shared" si="6"/>
        <v>85055250</v>
      </c>
    </row>
    <row r="86" spans="1:8" ht="15.6" x14ac:dyDescent="0.3">
      <c r="A86" s="66"/>
      <c r="B86" s="6" t="s">
        <v>30</v>
      </c>
      <c r="C86" s="8" t="s">
        <v>0</v>
      </c>
      <c r="D86" s="4">
        <v>2000</v>
      </c>
      <c r="E86" s="131">
        <v>5750</v>
      </c>
      <c r="F86" s="147">
        <f t="shared" si="6"/>
        <v>11500000</v>
      </c>
    </row>
    <row r="87" spans="1:8" ht="18.600000000000001" x14ac:dyDescent="0.3">
      <c r="A87" s="66"/>
      <c r="B87" s="1" t="s">
        <v>31</v>
      </c>
      <c r="C87" s="8" t="s">
        <v>265</v>
      </c>
      <c r="D87" s="103">
        <v>9180</v>
      </c>
      <c r="E87" s="131">
        <v>8750</v>
      </c>
      <c r="F87" s="147">
        <f t="shared" si="6"/>
        <v>80325000</v>
      </c>
    </row>
    <row r="88" spans="1:8" ht="15.6" x14ac:dyDescent="0.3">
      <c r="A88" s="66"/>
      <c r="B88" s="1" t="s">
        <v>45</v>
      </c>
      <c r="C88" s="8" t="s">
        <v>10</v>
      </c>
      <c r="D88" s="4">
        <v>40000</v>
      </c>
      <c r="E88" s="131">
        <v>1452</v>
      </c>
      <c r="F88" s="147">
        <f t="shared" si="6"/>
        <v>58080000</v>
      </c>
    </row>
    <row r="89" spans="1:8" ht="18.600000000000001" x14ac:dyDescent="0.3">
      <c r="A89" s="66"/>
      <c r="B89" s="6" t="s">
        <v>33</v>
      </c>
      <c r="C89" s="8" t="s">
        <v>264</v>
      </c>
      <c r="D89" s="103">
        <v>570</v>
      </c>
      <c r="E89" s="131">
        <v>118500</v>
      </c>
      <c r="F89" s="147">
        <f t="shared" si="6"/>
        <v>67545000</v>
      </c>
    </row>
    <row r="90" spans="1:8" ht="16.2" thickBot="1" x14ac:dyDescent="0.35">
      <c r="A90" s="68"/>
      <c r="B90" s="39" t="s">
        <v>46</v>
      </c>
      <c r="C90" s="57"/>
      <c r="D90" s="58"/>
      <c r="E90" s="133"/>
      <c r="F90" s="148"/>
    </row>
    <row r="91" spans="1:8" ht="17.399999999999999" thickTop="1" thickBot="1" x14ac:dyDescent="0.35">
      <c r="A91" s="49"/>
      <c r="B91" s="50" t="s">
        <v>47</v>
      </c>
      <c r="C91" s="51"/>
      <c r="D91" s="46"/>
      <c r="E91" s="134"/>
      <c r="F91" s="146">
        <f>SUM(F70:F89)</f>
        <v>518837370</v>
      </c>
    </row>
    <row r="92" spans="1:8" ht="16.2" thickTop="1" x14ac:dyDescent="0.3">
      <c r="A92" s="62"/>
      <c r="B92" s="53"/>
      <c r="C92" s="34"/>
      <c r="D92" s="33"/>
      <c r="E92" s="130"/>
      <c r="F92" s="149"/>
      <c r="H92" s="30"/>
    </row>
    <row r="93" spans="1:8" ht="15.6" x14ac:dyDescent="0.3">
      <c r="A93" s="72" t="s">
        <v>48</v>
      </c>
      <c r="B93" s="6" t="s">
        <v>251</v>
      </c>
      <c r="C93" s="1"/>
      <c r="D93" s="4"/>
      <c r="E93" s="137"/>
      <c r="F93" s="147"/>
    </row>
    <row r="94" spans="1:8" ht="15.6" x14ac:dyDescent="0.3">
      <c r="A94" s="66"/>
      <c r="B94" s="6" t="s">
        <v>49</v>
      </c>
      <c r="C94" s="5" t="s">
        <v>11</v>
      </c>
      <c r="D94" s="103">
        <v>100</v>
      </c>
      <c r="E94" s="131">
        <v>14800</v>
      </c>
      <c r="F94" s="147">
        <f>E94*D94</f>
        <v>1480000</v>
      </c>
    </row>
    <row r="95" spans="1:8" ht="15.6" x14ac:dyDescent="0.3">
      <c r="A95" s="66"/>
      <c r="B95" s="6" t="s">
        <v>50</v>
      </c>
      <c r="C95" s="8" t="s">
        <v>10</v>
      </c>
      <c r="D95" s="4">
        <v>12000</v>
      </c>
      <c r="E95" s="131">
        <v>1452</v>
      </c>
      <c r="F95" s="147">
        <f t="shared" ref="F95:F100" si="7">E95*D95</f>
        <v>17424000</v>
      </c>
      <c r="H95" s="30"/>
    </row>
    <row r="96" spans="1:8" ht="18.600000000000001" x14ac:dyDescent="0.3">
      <c r="A96" s="66"/>
      <c r="B96" s="6" t="s">
        <v>51</v>
      </c>
      <c r="C96" s="8" t="s">
        <v>264</v>
      </c>
      <c r="D96" s="103">
        <v>150</v>
      </c>
      <c r="E96" s="131">
        <v>118500</v>
      </c>
      <c r="F96" s="147">
        <f t="shared" si="7"/>
        <v>17775000</v>
      </c>
    </row>
    <row r="97" spans="1:6" ht="18.600000000000001" x14ac:dyDescent="0.3">
      <c r="A97" s="66"/>
      <c r="B97" s="6" t="s">
        <v>52</v>
      </c>
      <c r="C97" s="8" t="s">
        <v>265</v>
      </c>
      <c r="D97" s="103">
        <v>100</v>
      </c>
      <c r="E97" s="131">
        <v>5300</v>
      </c>
      <c r="F97" s="147">
        <f t="shared" si="7"/>
        <v>530000</v>
      </c>
    </row>
    <row r="98" spans="1:6" ht="18.600000000000001" x14ac:dyDescent="0.3">
      <c r="A98" s="66"/>
      <c r="B98" s="6" t="s">
        <v>53</v>
      </c>
      <c r="C98" s="8" t="s">
        <v>265</v>
      </c>
      <c r="D98" s="103">
        <v>200</v>
      </c>
      <c r="E98" s="131">
        <v>6300</v>
      </c>
      <c r="F98" s="147">
        <f t="shared" si="7"/>
        <v>1260000</v>
      </c>
    </row>
    <row r="99" spans="1:6" ht="15.6" x14ac:dyDescent="0.3">
      <c r="A99" s="66"/>
      <c r="B99" s="6" t="s">
        <v>27</v>
      </c>
      <c r="C99" s="8" t="s">
        <v>0</v>
      </c>
      <c r="D99" s="4">
        <v>900</v>
      </c>
      <c r="E99" s="131">
        <v>4280</v>
      </c>
      <c r="F99" s="147">
        <f t="shared" si="7"/>
        <v>3852000</v>
      </c>
    </row>
    <row r="100" spans="1:6" ht="16.2" thickBot="1" x14ac:dyDescent="0.35">
      <c r="A100" s="68"/>
      <c r="B100" s="48" t="s">
        <v>29</v>
      </c>
      <c r="C100" s="40" t="s">
        <v>0</v>
      </c>
      <c r="D100" s="14">
        <v>750</v>
      </c>
      <c r="E100" s="138">
        <v>1350</v>
      </c>
      <c r="F100" s="147">
        <f t="shared" si="7"/>
        <v>1012500</v>
      </c>
    </row>
    <row r="101" spans="1:6" ht="17.399999999999999" thickTop="1" thickBot="1" x14ac:dyDescent="0.35">
      <c r="A101" s="49"/>
      <c r="B101" s="50" t="s">
        <v>54</v>
      </c>
      <c r="C101" s="51"/>
      <c r="D101" s="46"/>
      <c r="E101" s="134"/>
      <c r="F101" s="146">
        <f>SUM(F94:F100)</f>
        <v>43333500</v>
      </c>
    </row>
    <row r="102" spans="1:6" ht="16.2" thickTop="1" x14ac:dyDescent="0.3">
      <c r="A102" s="62" t="s">
        <v>111</v>
      </c>
      <c r="B102" s="31" t="s">
        <v>109</v>
      </c>
      <c r="C102" s="32"/>
      <c r="D102" s="33"/>
      <c r="E102" s="130"/>
      <c r="F102" s="149"/>
    </row>
    <row r="103" spans="1:6" ht="18.600000000000001" x14ac:dyDescent="0.3">
      <c r="A103" s="64"/>
      <c r="B103" s="6" t="s">
        <v>110</v>
      </c>
      <c r="C103" s="8" t="s">
        <v>265</v>
      </c>
      <c r="D103" s="103">
        <v>1845</v>
      </c>
      <c r="E103" s="131">
        <v>14800</v>
      </c>
      <c r="F103" s="147">
        <f>E103*D103</f>
        <v>27306000</v>
      </c>
    </row>
    <row r="104" spans="1:6" ht="15.6" x14ac:dyDescent="0.3">
      <c r="A104" s="64"/>
      <c r="B104" s="6" t="s">
        <v>50</v>
      </c>
      <c r="C104" s="8" t="s">
        <v>10</v>
      </c>
      <c r="D104" s="4">
        <v>13600</v>
      </c>
      <c r="E104" s="131">
        <v>1452</v>
      </c>
      <c r="F104" s="147">
        <f t="shared" ref="F104:F105" si="8">E104*D104</f>
        <v>19747200</v>
      </c>
    </row>
    <row r="105" spans="1:6" ht="18" thickBot="1" x14ac:dyDescent="0.35">
      <c r="A105" s="73"/>
      <c r="B105" s="38" t="s">
        <v>113</v>
      </c>
      <c r="C105" s="52" t="s">
        <v>266</v>
      </c>
      <c r="D105" s="104">
        <v>170</v>
      </c>
      <c r="E105" s="138">
        <v>118500</v>
      </c>
      <c r="F105" s="147">
        <f t="shared" si="8"/>
        <v>20145000</v>
      </c>
    </row>
    <row r="106" spans="1:6" ht="17.399999999999999" thickTop="1" thickBot="1" x14ac:dyDescent="0.35">
      <c r="A106" s="55"/>
      <c r="B106" s="50" t="s">
        <v>112</v>
      </c>
      <c r="C106" s="56"/>
      <c r="D106" s="46"/>
      <c r="E106" s="134"/>
      <c r="F106" s="146">
        <f>SUM(F103:F105)</f>
        <v>67198200</v>
      </c>
    </row>
    <row r="107" spans="1:6" ht="16.2" thickTop="1" x14ac:dyDescent="0.3">
      <c r="A107" s="62" t="s">
        <v>123</v>
      </c>
      <c r="B107" s="31" t="s">
        <v>121</v>
      </c>
      <c r="C107" s="32"/>
      <c r="D107" s="33"/>
      <c r="E107" s="135"/>
      <c r="F107" s="149"/>
    </row>
    <row r="108" spans="1:6" ht="15.6" x14ac:dyDescent="0.3">
      <c r="A108" s="64"/>
      <c r="B108" s="3" t="s">
        <v>252</v>
      </c>
      <c r="C108" s="5" t="s">
        <v>11</v>
      </c>
      <c r="D108" s="103">
        <v>1080</v>
      </c>
      <c r="E108" s="131">
        <v>14800</v>
      </c>
      <c r="F108" s="147">
        <f>E108*D108</f>
        <v>15984000</v>
      </c>
    </row>
    <row r="109" spans="1:6" ht="17.399999999999999" x14ac:dyDescent="0.3">
      <c r="A109" s="64"/>
      <c r="B109" s="6" t="s">
        <v>238</v>
      </c>
      <c r="C109" s="5" t="s">
        <v>266</v>
      </c>
      <c r="D109" s="103">
        <v>305</v>
      </c>
      <c r="E109" s="131">
        <v>118500</v>
      </c>
      <c r="F109" s="147">
        <f t="shared" ref="F109:F110" si="9">E109*D109</f>
        <v>36142500</v>
      </c>
    </row>
    <row r="110" spans="1:6" ht="16.2" thickBot="1" x14ac:dyDescent="0.35">
      <c r="A110" s="73"/>
      <c r="B110" s="39" t="s">
        <v>122</v>
      </c>
      <c r="C110" s="52" t="s">
        <v>10</v>
      </c>
      <c r="D110" s="14">
        <v>11800</v>
      </c>
      <c r="E110" s="138">
        <v>1452</v>
      </c>
      <c r="F110" s="147">
        <f t="shared" si="9"/>
        <v>17133600</v>
      </c>
    </row>
    <row r="111" spans="1:6" ht="17.399999999999999" thickTop="1" thickBot="1" x14ac:dyDescent="0.35">
      <c r="A111" s="55"/>
      <c r="B111" s="50" t="s">
        <v>259</v>
      </c>
      <c r="C111" s="56"/>
      <c r="D111" s="46"/>
      <c r="E111" s="134"/>
      <c r="F111" s="146">
        <f>SUM(F108:F110)</f>
        <v>69260100</v>
      </c>
    </row>
    <row r="112" spans="1:6" ht="16.2" thickTop="1" x14ac:dyDescent="0.3">
      <c r="A112" s="62" t="s">
        <v>58</v>
      </c>
      <c r="B112" s="31" t="s">
        <v>59</v>
      </c>
      <c r="C112" s="32"/>
      <c r="D112" s="33"/>
      <c r="E112" s="130"/>
      <c r="F112" s="149"/>
    </row>
    <row r="113" spans="1:6" ht="18" thickBot="1" x14ac:dyDescent="0.35">
      <c r="A113" s="68"/>
      <c r="B113" s="48" t="s">
        <v>237</v>
      </c>
      <c r="C113" s="52" t="s">
        <v>267</v>
      </c>
      <c r="D113" s="104">
        <v>84240</v>
      </c>
      <c r="E113" s="138">
        <v>8450</v>
      </c>
      <c r="F113" s="148">
        <f>E113*D113</f>
        <v>711828000</v>
      </c>
    </row>
    <row r="114" spans="1:6" ht="17.399999999999999" thickTop="1" thickBot="1" x14ac:dyDescent="0.35">
      <c r="A114" s="49"/>
      <c r="B114" s="50" t="s">
        <v>124</v>
      </c>
      <c r="C114" s="51"/>
      <c r="D114" s="46"/>
      <c r="E114" s="134"/>
      <c r="F114" s="146">
        <f>SUM(F113)</f>
        <v>711828000</v>
      </c>
    </row>
    <row r="115" spans="1:6" ht="16.2" thickTop="1" x14ac:dyDescent="0.3">
      <c r="A115" s="74" t="s">
        <v>125</v>
      </c>
      <c r="B115" s="31" t="s">
        <v>55</v>
      </c>
      <c r="C115" s="54"/>
      <c r="D115" s="33"/>
      <c r="E115" s="135"/>
      <c r="F115" s="149"/>
    </row>
    <row r="116" spans="1:6" ht="15.6" x14ac:dyDescent="0.3">
      <c r="A116" s="66"/>
      <c r="B116" s="6" t="s">
        <v>56</v>
      </c>
      <c r="C116" s="8" t="s">
        <v>11</v>
      </c>
      <c r="D116" s="103">
        <v>8641</v>
      </c>
      <c r="E116" s="131">
        <v>85000</v>
      </c>
      <c r="F116" s="147">
        <f>E116*D116</f>
        <v>734485000</v>
      </c>
    </row>
    <row r="117" spans="1:6" ht="16.2" thickBot="1" x14ac:dyDescent="0.35">
      <c r="A117" s="68"/>
      <c r="B117" s="48" t="s">
        <v>247</v>
      </c>
      <c r="C117" s="40" t="s">
        <v>11</v>
      </c>
      <c r="D117" s="104">
        <v>12000</v>
      </c>
      <c r="E117" s="138">
        <v>52400</v>
      </c>
      <c r="F117" s="148">
        <f>E117*D117</f>
        <v>628800000</v>
      </c>
    </row>
    <row r="118" spans="1:6" ht="17.399999999999999" thickTop="1" thickBot="1" x14ac:dyDescent="0.35">
      <c r="A118" s="49"/>
      <c r="B118" s="50" t="s">
        <v>126</v>
      </c>
      <c r="C118" s="51"/>
      <c r="D118" s="46"/>
      <c r="E118" s="134"/>
      <c r="F118" s="146">
        <f>SUM(F116:F117)</f>
        <v>1363285000</v>
      </c>
    </row>
    <row r="119" spans="1:6" ht="21.6" thickTop="1" thickBot="1" x14ac:dyDescent="0.35">
      <c r="A119" s="43" t="s">
        <v>258</v>
      </c>
      <c r="B119" s="47" t="s">
        <v>194</v>
      </c>
      <c r="C119" s="45"/>
      <c r="D119" s="46"/>
      <c r="E119" s="134"/>
      <c r="F119" s="150"/>
    </row>
    <row r="120" spans="1:6" ht="16.2" thickTop="1" x14ac:dyDescent="0.3">
      <c r="A120" s="71"/>
      <c r="B120" s="41" t="s">
        <v>128</v>
      </c>
      <c r="C120" s="42"/>
      <c r="D120" s="33"/>
      <c r="E120" s="135"/>
      <c r="F120" s="149"/>
    </row>
    <row r="121" spans="1:6" ht="16.2" x14ac:dyDescent="0.3">
      <c r="A121" s="66"/>
      <c r="B121" s="17" t="s">
        <v>129</v>
      </c>
      <c r="C121" s="16"/>
      <c r="D121" s="4"/>
      <c r="E121" s="131"/>
      <c r="F121" s="147"/>
    </row>
    <row r="122" spans="1:6" ht="15.6" x14ac:dyDescent="0.3">
      <c r="A122" s="75"/>
      <c r="B122" s="18" t="s">
        <v>130</v>
      </c>
      <c r="C122" s="19" t="s">
        <v>143</v>
      </c>
      <c r="D122" s="4">
        <v>1</v>
      </c>
      <c r="E122" s="131">
        <v>2500000</v>
      </c>
      <c r="F122" s="147">
        <f>E122*D122</f>
        <v>2500000</v>
      </c>
    </row>
    <row r="123" spans="1:6" ht="15.6" x14ac:dyDescent="0.3">
      <c r="A123" s="75"/>
      <c r="B123" s="18" t="s">
        <v>131</v>
      </c>
      <c r="C123" s="19" t="s">
        <v>144</v>
      </c>
      <c r="D123" s="102">
        <v>200</v>
      </c>
      <c r="E123" s="124">
        <v>60000</v>
      </c>
      <c r="F123" s="147">
        <f t="shared" ref="F123:F153" si="10">E123*D123</f>
        <v>12000000</v>
      </c>
    </row>
    <row r="124" spans="1:6" ht="15.6" x14ac:dyDescent="0.3">
      <c r="A124" s="75"/>
      <c r="B124" s="18" t="s">
        <v>132</v>
      </c>
      <c r="C124" s="19" t="s">
        <v>144</v>
      </c>
      <c r="D124" s="102">
        <v>360</v>
      </c>
      <c r="E124" s="124">
        <v>9000</v>
      </c>
      <c r="F124" s="147">
        <f t="shared" si="10"/>
        <v>3240000</v>
      </c>
    </row>
    <row r="125" spans="1:6" ht="16.2" x14ac:dyDescent="0.3">
      <c r="A125" s="75"/>
      <c r="B125" s="17" t="s">
        <v>133</v>
      </c>
      <c r="C125" s="8"/>
      <c r="D125" s="21"/>
      <c r="E125" s="124"/>
      <c r="F125" s="147"/>
    </row>
    <row r="126" spans="1:6" ht="15.6" x14ac:dyDescent="0.3">
      <c r="A126" s="75"/>
      <c r="B126" s="18" t="s">
        <v>134</v>
      </c>
      <c r="C126" s="19" t="s">
        <v>144</v>
      </c>
      <c r="D126" s="102">
        <v>250</v>
      </c>
      <c r="E126" s="124">
        <v>13500</v>
      </c>
      <c r="F126" s="147">
        <f t="shared" si="10"/>
        <v>3375000</v>
      </c>
    </row>
    <row r="127" spans="1:6" ht="15.6" x14ac:dyDescent="0.3">
      <c r="A127" s="75"/>
      <c r="B127" s="18" t="s">
        <v>135</v>
      </c>
      <c r="C127" s="19" t="s">
        <v>144</v>
      </c>
      <c r="D127" s="102">
        <v>120</v>
      </c>
      <c r="E127" s="124">
        <v>10000</v>
      </c>
      <c r="F127" s="147">
        <f t="shared" si="10"/>
        <v>1200000</v>
      </c>
    </row>
    <row r="128" spans="1:6" ht="15.6" x14ac:dyDescent="0.3">
      <c r="A128" s="75"/>
      <c r="B128" s="18" t="s">
        <v>136</v>
      </c>
      <c r="C128" s="19" t="s">
        <v>144</v>
      </c>
      <c r="D128" s="102">
        <v>10</v>
      </c>
      <c r="E128" s="124">
        <v>15000</v>
      </c>
      <c r="F128" s="147">
        <f t="shared" si="10"/>
        <v>150000</v>
      </c>
    </row>
    <row r="129" spans="1:6" ht="15.6" x14ac:dyDescent="0.3">
      <c r="A129" s="152"/>
      <c r="B129" s="18" t="s">
        <v>137</v>
      </c>
      <c r="C129" s="19" t="s">
        <v>0</v>
      </c>
      <c r="D129" s="19">
        <v>10</v>
      </c>
      <c r="E129" s="124"/>
      <c r="F129" s="147"/>
    </row>
    <row r="130" spans="1:6" ht="15.6" x14ac:dyDescent="0.3">
      <c r="A130" s="75"/>
      <c r="B130" s="15" t="s">
        <v>138</v>
      </c>
      <c r="C130" s="8"/>
      <c r="D130" s="21"/>
      <c r="E130" s="124"/>
      <c r="F130" s="147"/>
    </row>
    <row r="131" spans="1:6" ht="15.6" x14ac:dyDescent="0.3">
      <c r="A131" s="152"/>
      <c r="B131" s="18" t="s">
        <v>139</v>
      </c>
      <c r="C131" s="19" t="s">
        <v>0</v>
      </c>
      <c r="D131" s="19">
        <v>4</v>
      </c>
      <c r="E131" s="124"/>
      <c r="F131" s="147"/>
    </row>
    <row r="132" spans="1:6" ht="15.6" x14ac:dyDescent="0.3">
      <c r="A132" s="75"/>
      <c r="B132" s="23" t="s">
        <v>140</v>
      </c>
      <c r="C132" s="19"/>
      <c r="D132" s="21"/>
      <c r="E132" s="124"/>
      <c r="F132" s="147"/>
    </row>
    <row r="133" spans="1:6" ht="15.6" x14ac:dyDescent="0.3">
      <c r="A133" s="75"/>
      <c r="B133" s="18" t="s">
        <v>141</v>
      </c>
      <c r="C133" s="19" t="s">
        <v>144</v>
      </c>
      <c r="D133" s="102">
        <v>700</v>
      </c>
      <c r="E133" s="124">
        <v>10000</v>
      </c>
      <c r="F133" s="147">
        <f t="shared" si="10"/>
        <v>7000000</v>
      </c>
    </row>
    <row r="134" spans="1:6" ht="15.6" x14ac:dyDescent="0.3">
      <c r="A134" s="75"/>
      <c r="B134" s="18" t="s">
        <v>142</v>
      </c>
      <c r="C134" s="19" t="s">
        <v>144</v>
      </c>
      <c r="D134" s="102">
        <v>300</v>
      </c>
      <c r="E134" s="124">
        <v>18000</v>
      </c>
      <c r="F134" s="147">
        <f t="shared" si="10"/>
        <v>5400000</v>
      </c>
    </row>
    <row r="135" spans="1:6" ht="15.6" x14ac:dyDescent="0.3">
      <c r="A135" s="75"/>
      <c r="B135" s="18" t="s">
        <v>145</v>
      </c>
      <c r="C135" s="19" t="s">
        <v>144</v>
      </c>
      <c r="D135" s="102">
        <v>850</v>
      </c>
      <c r="E135" s="124">
        <v>22500</v>
      </c>
      <c r="F135" s="147">
        <f t="shared" si="10"/>
        <v>19125000</v>
      </c>
    </row>
    <row r="136" spans="1:6" ht="15.6" x14ac:dyDescent="0.3">
      <c r="A136" s="75"/>
      <c r="B136" s="18" t="s">
        <v>146</v>
      </c>
      <c r="C136" s="19" t="s">
        <v>144</v>
      </c>
      <c r="D136" s="102">
        <v>60</v>
      </c>
      <c r="E136" s="124">
        <v>180000</v>
      </c>
      <c r="F136" s="147">
        <f t="shared" si="10"/>
        <v>10800000</v>
      </c>
    </row>
    <row r="137" spans="1:6" ht="15.6" x14ac:dyDescent="0.3">
      <c r="A137" s="75"/>
      <c r="B137" s="23" t="s">
        <v>147</v>
      </c>
      <c r="C137" s="8"/>
      <c r="D137" s="6"/>
      <c r="E137" s="140"/>
      <c r="F137" s="147"/>
    </row>
    <row r="138" spans="1:6" ht="15.6" x14ac:dyDescent="0.3">
      <c r="A138" s="152"/>
      <c r="B138" s="18" t="s">
        <v>148</v>
      </c>
      <c r="C138" s="19" t="s">
        <v>144</v>
      </c>
      <c r="D138" s="102">
        <v>21</v>
      </c>
      <c r="E138" s="124"/>
      <c r="F138" s="147"/>
    </row>
    <row r="139" spans="1:6" ht="15.6" x14ac:dyDescent="0.3">
      <c r="A139" s="75"/>
      <c r="B139" s="24" t="s">
        <v>223</v>
      </c>
      <c r="C139" s="8"/>
      <c r="D139" s="6"/>
      <c r="E139" s="140"/>
      <c r="F139" s="147"/>
    </row>
    <row r="140" spans="1:6" ht="15.6" x14ac:dyDescent="0.3">
      <c r="A140" s="75"/>
      <c r="B140" s="15" t="s">
        <v>149</v>
      </c>
      <c r="C140" s="8"/>
      <c r="D140" s="6"/>
      <c r="E140" s="140"/>
      <c r="F140" s="147"/>
    </row>
    <row r="141" spans="1:6" ht="15.6" x14ac:dyDescent="0.3">
      <c r="A141" s="75"/>
      <c r="B141" s="18" t="s">
        <v>150</v>
      </c>
      <c r="C141" s="19" t="s">
        <v>144</v>
      </c>
      <c r="D141" s="102">
        <v>250</v>
      </c>
      <c r="E141" s="124">
        <v>9000</v>
      </c>
      <c r="F141" s="147">
        <f t="shared" si="10"/>
        <v>2250000</v>
      </c>
    </row>
    <row r="142" spans="1:6" ht="15.6" x14ac:dyDescent="0.3">
      <c r="A142" s="75"/>
      <c r="B142" s="18" t="s">
        <v>151</v>
      </c>
      <c r="C142" s="19" t="s">
        <v>144</v>
      </c>
      <c r="D142" s="102">
        <v>400</v>
      </c>
      <c r="E142" s="124">
        <v>10500</v>
      </c>
      <c r="F142" s="147">
        <f t="shared" si="10"/>
        <v>4200000</v>
      </c>
    </row>
    <row r="143" spans="1:6" ht="15.6" x14ac:dyDescent="0.3">
      <c r="A143" s="75"/>
      <c r="B143" s="18" t="s">
        <v>152</v>
      </c>
      <c r="C143" s="19" t="s">
        <v>144</v>
      </c>
      <c r="D143" s="102">
        <v>650</v>
      </c>
      <c r="E143" s="124">
        <v>14000</v>
      </c>
      <c r="F143" s="147">
        <f t="shared" si="10"/>
        <v>9100000</v>
      </c>
    </row>
    <row r="144" spans="1:6" ht="15.6" x14ac:dyDescent="0.3">
      <c r="A144" s="152"/>
      <c r="B144" s="18" t="s">
        <v>153</v>
      </c>
      <c r="C144" s="19" t="s">
        <v>0</v>
      </c>
      <c r="D144" s="19">
        <v>20</v>
      </c>
      <c r="E144" s="124"/>
      <c r="F144" s="147"/>
    </row>
    <row r="145" spans="1:8" ht="15.6" x14ac:dyDescent="0.3">
      <c r="A145" s="75"/>
      <c r="B145" s="24" t="s">
        <v>224</v>
      </c>
      <c r="C145" s="19"/>
      <c r="D145" s="19"/>
      <c r="E145" s="124"/>
      <c r="F145" s="147"/>
    </row>
    <row r="146" spans="1:8" ht="15" customHeight="1" x14ac:dyDescent="0.3">
      <c r="A146" s="75"/>
      <c r="B146" s="15" t="s">
        <v>154</v>
      </c>
      <c r="C146" s="8"/>
      <c r="D146" s="6"/>
      <c r="E146" s="140"/>
      <c r="F146" s="147"/>
    </row>
    <row r="147" spans="1:8" ht="15.6" x14ac:dyDescent="0.3">
      <c r="A147" s="75"/>
      <c r="B147" s="18" t="s">
        <v>155</v>
      </c>
      <c r="C147" s="19" t="s">
        <v>0</v>
      </c>
      <c r="D147" s="19">
        <v>58</v>
      </c>
      <c r="E147" s="124">
        <v>110000</v>
      </c>
      <c r="F147" s="147">
        <f t="shared" si="10"/>
        <v>6380000</v>
      </c>
    </row>
    <row r="148" spans="1:8" ht="15.6" x14ac:dyDescent="0.3">
      <c r="A148" s="75"/>
      <c r="B148" s="18" t="s">
        <v>156</v>
      </c>
      <c r="C148" s="19" t="s">
        <v>0</v>
      </c>
      <c r="D148" s="19">
        <v>30</v>
      </c>
      <c r="E148" s="124">
        <v>95000</v>
      </c>
      <c r="F148" s="147">
        <f t="shared" si="10"/>
        <v>2850000</v>
      </c>
    </row>
    <row r="149" spans="1:8" ht="15.6" x14ac:dyDescent="0.3">
      <c r="A149" s="75"/>
      <c r="B149" s="18" t="s">
        <v>157</v>
      </c>
      <c r="C149" s="19" t="s">
        <v>0</v>
      </c>
      <c r="D149" s="19">
        <v>40</v>
      </c>
      <c r="E149" s="124">
        <v>35000</v>
      </c>
      <c r="F149" s="147">
        <f t="shared" si="10"/>
        <v>1400000</v>
      </c>
    </row>
    <row r="150" spans="1:8" ht="15.6" x14ac:dyDescent="0.3">
      <c r="A150" s="75"/>
      <c r="B150" s="18" t="s">
        <v>158</v>
      </c>
      <c r="C150" s="19" t="s">
        <v>0</v>
      </c>
      <c r="D150" s="19">
        <v>12</v>
      </c>
      <c r="E150" s="124">
        <v>180000</v>
      </c>
      <c r="F150" s="147">
        <f t="shared" si="10"/>
        <v>2160000</v>
      </c>
      <c r="H150" s="30"/>
    </row>
    <row r="151" spans="1:8" ht="15.6" x14ac:dyDescent="0.3">
      <c r="A151" s="75"/>
      <c r="B151" s="18" t="s">
        <v>159</v>
      </c>
      <c r="C151" s="19" t="s">
        <v>0</v>
      </c>
      <c r="D151" s="19">
        <v>58</v>
      </c>
      <c r="E151" s="124">
        <v>32500</v>
      </c>
      <c r="F151" s="147">
        <f t="shared" si="10"/>
        <v>1885000</v>
      </c>
    </row>
    <row r="152" spans="1:8" ht="15.6" x14ac:dyDescent="0.3">
      <c r="A152" s="75"/>
      <c r="B152" s="18" t="s">
        <v>160</v>
      </c>
      <c r="C152" s="19" t="s">
        <v>0</v>
      </c>
      <c r="D152" s="19">
        <v>30</v>
      </c>
      <c r="E152" s="124">
        <v>27500</v>
      </c>
      <c r="F152" s="147">
        <f t="shared" si="10"/>
        <v>825000</v>
      </c>
    </row>
    <row r="153" spans="1:8" ht="15.6" x14ac:dyDescent="0.3">
      <c r="A153" s="75"/>
      <c r="B153" s="18" t="s">
        <v>221</v>
      </c>
      <c r="C153" s="19" t="s">
        <v>0</v>
      </c>
      <c r="D153" s="19">
        <v>4</v>
      </c>
      <c r="E153" s="124">
        <v>600000</v>
      </c>
      <c r="F153" s="147">
        <f t="shared" si="10"/>
        <v>2400000</v>
      </c>
    </row>
    <row r="154" spans="1:8" ht="16.2" thickBot="1" x14ac:dyDescent="0.35">
      <c r="A154" s="76"/>
      <c r="B154" s="77" t="s">
        <v>225</v>
      </c>
      <c r="C154" s="78"/>
      <c r="D154" s="78"/>
      <c r="E154" s="125"/>
      <c r="F154" s="148"/>
    </row>
    <row r="155" spans="1:8" ht="17.399999999999999" thickTop="1" thickBot="1" x14ac:dyDescent="0.3">
      <c r="A155" s="49"/>
      <c r="B155" s="44" t="s">
        <v>196</v>
      </c>
      <c r="C155" s="80"/>
      <c r="D155" s="80"/>
      <c r="E155" s="126"/>
      <c r="F155" s="155">
        <f>SUM(F122:F153)</f>
        <v>98240000</v>
      </c>
    </row>
    <row r="156" spans="1:8" ht="21.6" thickTop="1" thickBot="1" x14ac:dyDescent="0.3">
      <c r="A156" s="43" t="s">
        <v>197</v>
      </c>
      <c r="B156" s="47" t="s">
        <v>193</v>
      </c>
      <c r="C156" s="32"/>
      <c r="D156" s="32" t="s">
        <v>243</v>
      </c>
      <c r="E156" s="130"/>
      <c r="F156" s="149"/>
    </row>
    <row r="157" spans="1:8" ht="16.2" thickTop="1" x14ac:dyDescent="0.25">
      <c r="A157" s="66"/>
      <c r="B157" s="26" t="s">
        <v>161</v>
      </c>
      <c r="C157" s="16"/>
      <c r="D157" s="16"/>
      <c r="E157" s="127"/>
      <c r="F157" s="147"/>
    </row>
    <row r="158" spans="1:8" ht="47.25" customHeight="1" x14ac:dyDescent="0.3">
      <c r="A158" s="66"/>
      <c r="B158" s="18" t="s">
        <v>162</v>
      </c>
      <c r="C158" s="19" t="s">
        <v>144</v>
      </c>
      <c r="D158" s="28">
        <v>45000</v>
      </c>
      <c r="E158" s="124">
        <v>16168</v>
      </c>
      <c r="F158" s="153">
        <f>E158*D158</f>
        <v>727560000</v>
      </c>
      <c r="G158" s="21"/>
    </row>
    <row r="159" spans="1:8" ht="30.75" customHeight="1" x14ac:dyDescent="0.3">
      <c r="A159" s="66"/>
      <c r="B159" s="18" t="s">
        <v>163</v>
      </c>
      <c r="C159" s="19" t="s">
        <v>144</v>
      </c>
      <c r="D159" s="102">
        <v>60</v>
      </c>
      <c r="E159" s="124">
        <v>4500</v>
      </c>
      <c r="F159" s="153">
        <f t="shared" ref="F159:F196" si="11">E159*D159</f>
        <v>270000</v>
      </c>
      <c r="G159" s="21"/>
    </row>
    <row r="160" spans="1:8" ht="16.2" x14ac:dyDescent="0.3">
      <c r="A160" s="66"/>
      <c r="B160" s="24" t="s">
        <v>226</v>
      </c>
      <c r="C160" s="8"/>
      <c r="D160" s="8"/>
      <c r="E160" s="140"/>
      <c r="F160" s="154">
        <f>SUM(F158:F159)</f>
        <v>727830000</v>
      </c>
      <c r="G160" s="21"/>
    </row>
    <row r="161" spans="1:7" ht="15.6" x14ac:dyDescent="0.3">
      <c r="A161" s="66"/>
      <c r="B161" s="15" t="s">
        <v>164</v>
      </c>
      <c r="C161" s="19"/>
      <c r="D161" s="19"/>
      <c r="E161" s="124"/>
      <c r="F161" s="153"/>
      <c r="G161" s="21"/>
    </row>
    <row r="162" spans="1:7" ht="15.6" x14ac:dyDescent="0.3">
      <c r="A162" s="66"/>
      <c r="B162" s="18" t="s">
        <v>246</v>
      </c>
      <c r="C162" s="19" t="s">
        <v>0</v>
      </c>
      <c r="D162" s="19">
        <v>1</v>
      </c>
      <c r="E162" s="124">
        <v>35892857</v>
      </c>
      <c r="F162" s="153">
        <f t="shared" si="11"/>
        <v>35892857</v>
      </c>
      <c r="G162" s="21"/>
    </row>
    <row r="163" spans="1:7" ht="15.6" x14ac:dyDescent="0.3">
      <c r="A163" s="156"/>
      <c r="B163" s="18" t="s">
        <v>165</v>
      </c>
      <c r="C163" s="19" t="s">
        <v>0</v>
      </c>
      <c r="D163" s="19">
        <v>750</v>
      </c>
      <c r="E163" s="124"/>
      <c r="F163" s="153"/>
      <c r="G163" s="21"/>
    </row>
    <row r="164" spans="1:7" ht="16.2" x14ac:dyDescent="0.3">
      <c r="A164" s="66"/>
      <c r="B164" s="24" t="s">
        <v>227</v>
      </c>
      <c r="C164" s="19"/>
      <c r="D164" s="22"/>
      <c r="E164" s="124"/>
      <c r="F164" s="154">
        <f>SUM(F162:F163)</f>
        <v>35892857</v>
      </c>
      <c r="G164" s="21"/>
    </row>
    <row r="165" spans="1:7" ht="15.6" x14ac:dyDescent="0.3">
      <c r="A165" s="66"/>
      <c r="B165" s="15" t="s">
        <v>166</v>
      </c>
      <c r="C165" s="19"/>
      <c r="D165" s="22"/>
      <c r="E165" s="124"/>
      <c r="F165" s="153"/>
      <c r="G165" s="21"/>
    </row>
    <row r="166" spans="1:7" ht="15.6" x14ac:dyDescent="0.3">
      <c r="A166" s="66"/>
      <c r="B166" s="23" t="s">
        <v>167</v>
      </c>
      <c r="C166" s="8"/>
      <c r="D166" s="6"/>
      <c r="E166" s="140"/>
      <c r="F166" s="153"/>
      <c r="G166" s="21"/>
    </row>
    <row r="167" spans="1:7" ht="15.6" x14ac:dyDescent="0.3">
      <c r="A167" s="66"/>
      <c r="B167" s="18" t="s">
        <v>168</v>
      </c>
      <c r="C167" s="19" t="s">
        <v>144</v>
      </c>
      <c r="D167" s="28">
        <v>1000</v>
      </c>
      <c r="E167" s="124">
        <v>3798</v>
      </c>
      <c r="F167" s="153">
        <f t="shared" si="11"/>
        <v>3798000</v>
      </c>
      <c r="G167" s="21"/>
    </row>
    <row r="168" spans="1:7" ht="15.6" x14ac:dyDescent="0.3">
      <c r="A168" s="66"/>
      <c r="B168" s="18" t="s">
        <v>169</v>
      </c>
      <c r="C168" s="19" t="s">
        <v>0</v>
      </c>
      <c r="D168" s="19">
        <v>5</v>
      </c>
      <c r="E168" s="124">
        <v>6300</v>
      </c>
      <c r="F168" s="153">
        <f t="shared" si="11"/>
        <v>31500</v>
      </c>
      <c r="G168" s="21"/>
    </row>
    <row r="169" spans="1:7" ht="15.6" x14ac:dyDescent="0.3">
      <c r="A169" s="66"/>
      <c r="B169" s="18" t="s">
        <v>170</v>
      </c>
      <c r="C169" s="19" t="s">
        <v>0</v>
      </c>
      <c r="D169" s="19">
        <v>5</v>
      </c>
      <c r="E169" s="124">
        <v>2571</v>
      </c>
      <c r="F169" s="153">
        <f t="shared" si="11"/>
        <v>12855</v>
      </c>
      <c r="G169" s="21"/>
    </row>
    <row r="170" spans="1:7" ht="15.6" x14ac:dyDescent="0.3">
      <c r="A170" s="66"/>
      <c r="B170" s="23" t="s">
        <v>171</v>
      </c>
      <c r="C170" s="8"/>
      <c r="D170" s="8"/>
      <c r="E170" s="140"/>
      <c r="F170" s="153"/>
      <c r="G170" s="21"/>
    </row>
    <row r="171" spans="1:7" ht="15.6" x14ac:dyDescent="0.3">
      <c r="A171" s="66"/>
      <c r="B171" s="18" t="s">
        <v>172</v>
      </c>
      <c r="C171" s="19" t="s">
        <v>144</v>
      </c>
      <c r="D171" s="28">
        <v>9000</v>
      </c>
      <c r="E171" s="19">
        <v>354</v>
      </c>
      <c r="F171" s="153">
        <f t="shared" si="11"/>
        <v>3186000</v>
      </c>
      <c r="G171" s="21"/>
    </row>
    <row r="172" spans="1:7" ht="15.6" x14ac:dyDescent="0.3">
      <c r="A172" s="66"/>
      <c r="B172" s="18" t="s">
        <v>173</v>
      </c>
      <c r="C172" s="19" t="s">
        <v>144</v>
      </c>
      <c r="D172" s="28">
        <v>9000</v>
      </c>
      <c r="E172" s="19">
        <v>258</v>
      </c>
      <c r="F172" s="153">
        <f t="shared" si="11"/>
        <v>2322000</v>
      </c>
      <c r="G172" s="21"/>
    </row>
    <row r="173" spans="1:7" ht="15.6" x14ac:dyDescent="0.3">
      <c r="A173" s="66"/>
      <c r="B173" s="23" t="s">
        <v>174</v>
      </c>
      <c r="C173" s="8"/>
      <c r="D173" s="8"/>
      <c r="E173" s="140"/>
      <c r="F173" s="153"/>
      <c r="G173" s="21"/>
    </row>
    <row r="174" spans="1:7" ht="15.6" x14ac:dyDescent="0.3">
      <c r="A174" s="66"/>
      <c r="B174" s="18" t="s">
        <v>175</v>
      </c>
      <c r="C174" s="19" t="s">
        <v>144</v>
      </c>
      <c r="D174" s="28">
        <v>250000</v>
      </c>
      <c r="E174" s="19">
        <v>354</v>
      </c>
      <c r="F174" s="153">
        <f t="shared" si="11"/>
        <v>88500000</v>
      </c>
      <c r="G174" s="21"/>
    </row>
    <row r="175" spans="1:7" ht="15.6" x14ac:dyDescent="0.3">
      <c r="A175" s="66"/>
      <c r="B175" s="18" t="s">
        <v>176</v>
      </c>
      <c r="C175" s="19" t="s">
        <v>144</v>
      </c>
      <c r="D175" s="28">
        <v>40000</v>
      </c>
      <c r="E175" s="19">
        <v>427</v>
      </c>
      <c r="F175" s="153">
        <f t="shared" si="11"/>
        <v>17080000</v>
      </c>
      <c r="G175" s="21"/>
    </row>
    <row r="176" spans="1:7" ht="15.6" x14ac:dyDescent="0.3">
      <c r="A176" s="156"/>
      <c r="B176" s="18" t="s">
        <v>177</v>
      </c>
      <c r="C176" s="19" t="s">
        <v>0</v>
      </c>
      <c r="D176" s="19">
        <v>400</v>
      </c>
      <c r="E176" s="124"/>
      <c r="F176" s="153"/>
      <c r="G176" s="21"/>
    </row>
    <row r="177" spans="1:8" ht="15.6" x14ac:dyDescent="0.3">
      <c r="A177" s="66"/>
      <c r="B177" s="18" t="s">
        <v>178</v>
      </c>
      <c r="C177" s="19" t="s">
        <v>0</v>
      </c>
      <c r="D177" s="19">
        <v>400</v>
      </c>
      <c r="E177" s="124">
        <v>4464</v>
      </c>
      <c r="F177" s="153">
        <f t="shared" si="11"/>
        <v>1785600</v>
      </c>
      <c r="G177" s="21"/>
    </row>
    <row r="178" spans="1:8" ht="15.6" x14ac:dyDescent="0.3">
      <c r="A178" s="66"/>
      <c r="B178" s="18" t="s">
        <v>179</v>
      </c>
      <c r="C178" s="19" t="s">
        <v>0</v>
      </c>
      <c r="D178" s="28">
        <v>4000</v>
      </c>
      <c r="E178" s="19">
        <v>90</v>
      </c>
      <c r="F178" s="153">
        <f t="shared" si="11"/>
        <v>360000</v>
      </c>
      <c r="G178" s="21"/>
    </row>
    <row r="179" spans="1:8" ht="15.6" x14ac:dyDescent="0.3">
      <c r="A179" s="66"/>
      <c r="B179" s="23" t="s">
        <v>253</v>
      </c>
      <c r="C179" s="19" t="s">
        <v>144</v>
      </c>
      <c r="D179" s="28">
        <v>3500</v>
      </c>
      <c r="E179" s="19">
        <v>220</v>
      </c>
      <c r="F179" s="153">
        <f t="shared" si="11"/>
        <v>770000</v>
      </c>
      <c r="G179" s="21"/>
    </row>
    <row r="180" spans="1:8" ht="15.6" x14ac:dyDescent="0.3">
      <c r="A180" s="66"/>
      <c r="B180" s="18" t="s">
        <v>180</v>
      </c>
      <c r="C180" s="19" t="s">
        <v>144</v>
      </c>
      <c r="D180" s="28">
        <v>3200</v>
      </c>
      <c r="E180" s="19">
        <v>354</v>
      </c>
      <c r="F180" s="153">
        <f t="shared" si="11"/>
        <v>1132800</v>
      </c>
      <c r="G180" s="21"/>
      <c r="H180" s="30"/>
    </row>
    <row r="181" spans="1:8" ht="15.6" x14ac:dyDescent="0.3">
      <c r="A181" s="66"/>
      <c r="B181" s="18" t="s">
        <v>181</v>
      </c>
      <c r="C181" s="19" t="s">
        <v>144</v>
      </c>
      <c r="D181" s="102">
        <v>700</v>
      </c>
      <c r="E181" s="19">
        <v>945</v>
      </c>
      <c r="F181" s="153">
        <f t="shared" si="11"/>
        <v>661500</v>
      </c>
      <c r="G181" s="21"/>
    </row>
    <row r="182" spans="1:8" ht="15.6" x14ac:dyDescent="0.3">
      <c r="A182" s="66"/>
      <c r="B182" s="18" t="s">
        <v>182</v>
      </c>
      <c r="C182" s="19" t="s">
        <v>144</v>
      </c>
      <c r="D182" s="28">
        <v>3300</v>
      </c>
      <c r="E182" s="19">
        <v>902</v>
      </c>
      <c r="F182" s="153">
        <f t="shared" si="11"/>
        <v>2976600</v>
      </c>
      <c r="G182" s="21"/>
    </row>
    <row r="183" spans="1:8" ht="15.6" x14ac:dyDescent="0.3">
      <c r="A183" s="66"/>
      <c r="B183" s="18" t="s">
        <v>183</v>
      </c>
      <c r="C183" s="19" t="s">
        <v>144</v>
      </c>
      <c r="D183" s="102">
        <v>800</v>
      </c>
      <c r="E183" s="124">
        <v>1340</v>
      </c>
      <c r="F183" s="153">
        <f t="shared" si="11"/>
        <v>1072000</v>
      </c>
      <c r="G183" s="21"/>
    </row>
    <row r="184" spans="1:8" ht="15.6" x14ac:dyDescent="0.3">
      <c r="A184" s="66"/>
      <c r="B184" s="18" t="s">
        <v>184</v>
      </c>
      <c r="C184" s="19" t="s">
        <v>144</v>
      </c>
      <c r="D184" s="28">
        <v>1000</v>
      </c>
      <c r="E184" s="124">
        <v>11429</v>
      </c>
      <c r="F184" s="153">
        <f t="shared" si="11"/>
        <v>11429000</v>
      </c>
      <c r="G184" s="21"/>
    </row>
    <row r="185" spans="1:8" ht="15" customHeight="1" x14ac:dyDescent="0.3">
      <c r="A185" s="66"/>
      <c r="B185" s="29" t="s">
        <v>228</v>
      </c>
      <c r="C185" s="19"/>
      <c r="D185" s="28"/>
      <c r="E185" s="124"/>
      <c r="F185" s="154">
        <f>SUM(F167:F184)</f>
        <v>135117855</v>
      </c>
      <c r="G185" s="21"/>
    </row>
    <row r="186" spans="1:8" ht="15.6" x14ac:dyDescent="0.3">
      <c r="A186" s="66"/>
      <c r="B186" s="18" t="s">
        <v>185</v>
      </c>
      <c r="C186" s="19" t="s">
        <v>0</v>
      </c>
      <c r="D186" s="19">
        <v>50</v>
      </c>
      <c r="E186" s="124">
        <v>1845</v>
      </c>
      <c r="F186" s="153">
        <f t="shared" si="11"/>
        <v>92250</v>
      </c>
      <c r="G186" s="21"/>
    </row>
    <row r="187" spans="1:8" ht="15.6" x14ac:dyDescent="0.3">
      <c r="A187" s="66"/>
      <c r="B187" s="18" t="s">
        <v>186</v>
      </c>
      <c r="C187" s="19" t="s">
        <v>0</v>
      </c>
      <c r="D187" s="19">
        <v>50</v>
      </c>
      <c r="E187" s="124">
        <v>3540</v>
      </c>
      <c r="F187" s="153">
        <f t="shared" si="11"/>
        <v>177000</v>
      </c>
      <c r="G187" s="21"/>
    </row>
    <row r="188" spans="1:8" ht="15.6" x14ac:dyDescent="0.3">
      <c r="A188" s="66"/>
      <c r="B188" s="18" t="s">
        <v>187</v>
      </c>
      <c r="C188" s="19" t="s">
        <v>0</v>
      </c>
      <c r="D188" s="19">
        <v>10</v>
      </c>
      <c r="E188" s="124">
        <v>18650</v>
      </c>
      <c r="F188" s="153">
        <f t="shared" si="11"/>
        <v>186500</v>
      </c>
      <c r="G188" s="21"/>
    </row>
    <row r="189" spans="1:8" ht="16.2" x14ac:dyDescent="0.3">
      <c r="A189" s="66"/>
      <c r="B189" s="29" t="s">
        <v>229</v>
      </c>
      <c r="C189" s="19"/>
      <c r="D189" s="19"/>
      <c r="E189" s="124"/>
      <c r="F189" s="154">
        <f>SUM(F187:F188)</f>
        <v>363500</v>
      </c>
      <c r="G189" s="21"/>
    </row>
    <row r="190" spans="1:8" ht="15.6" x14ac:dyDescent="0.3">
      <c r="A190" s="66"/>
      <c r="B190" s="23" t="s">
        <v>188</v>
      </c>
      <c r="C190" s="8"/>
      <c r="D190" s="8"/>
      <c r="E190" s="140"/>
      <c r="F190" s="153"/>
      <c r="G190" s="21"/>
    </row>
    <row r="191" spans="1:8" ht="15.6" x14ac:dyDescent="0.3">
      <c r="A191" s="66"/>
      <c r="B191" s="18" t="s">
        <v>189</v>
      </c>
      <c r="C191" s="19" t="s">
        <v>0</v>
      </c>
      <c r="D191" s="19">
        <v>250</v>
      </c>
      <c r="E191" s="124">
        <v>1700</v>
      </c>
      <c r="F191" s="153">
        <f t="shared" si="11"/>
        <v>425000</v>
      </c>
      <c r="G191" s="21"/>
    </row>
    <row r="192" spans="1:8" ht="15.6" x14ac:dyDescent="0.3">
      <c r="A192" s="66"/>
      <c r="B192" s="18" t="s">
        <v>190</v>
      </c>
      <c r="C192" s="19" t="s">
        <v>0</v>
      </c>
      <c r="D192" s="19">
        <v>750</v>
      </c>
      <c r="E192" s="124">
        <v>14110</v>
      </c>
      <c r="F192" s="153">
        <f t="shared" si="11"/>
        <v>10582500</v>
      </c>
      <c r="G192" s="21"/>
    </row>
    <row r="193" spans="1:9" ht="16.2" x14ac:dyDescent="0.3">
      <c r="A193" s="66"/>
      <c r="B193" s="29" t="s">
        <v>230</v>
      </c>
      <c r="C193" s="19"/>
      <c r="D193" s="19"/>
      <c r="E193" s="124"/>
      <c r="F193" s="154">
        <f>SUM(F191:F192)</f>
        <v>11007500</v>
      </c>
      <c r="G193" s="21"/>
    </row>
    <row r="194" spans="1:9" ht="15.6" x14ac:dyDescent="0.3">
      <c r="A194" s="156"/>
      <c r="B194" s="15" t="s">
        <v>254</v>
      </c>
      <c r="C194" s="19" t="s">
        <v>0</v>
      </c>
      <c r="D194" s="19">
        <v>50</v>
      </c>
      <c r="E194" s="124"/>
      <c r="F194" s="153"/>
      <c r="G194" s="21"/>
    </row>
    <row r="195" spans="1:9" ht="15.6" x14ac:dyDescent="0.3">
      <c r="A195" s="66"/>
      <c r="B195" s="18" t="s">
        <v>191</v>
      </c>
      <c r="C195" s="19" t="s">
        <v>0</v>
      </c>
      <c r="D195" s="19">
        <v>300</v>
      </c>
      <c r="E195" s="124">
        <v>6830</v>
      </c>
      <c r="F195" s="153">
        <f t="shared" si="11"/>
        <v>2049000</v>
      </c>
      <c r="G195" s="21"/>
    </row>
    <row r="196" spans="1:9" ht="15.6" x14ac:dyDescent="0.3">
      <c r="A196" s="66"/>
      <c r="B196" s="18" t="s">
        <v>192</v>
      </c>
      <c r="C196" s="19" t="s">
        <v>0</v>
      </c>
      <c r="D196" s="19">
        <v>30</v>
      </c>
      <c r="E196" s="124">
        <v>8125</v>
      </c>
      <c r="F196" s="153">
        <f t="shared" si="11"/>
        <v>243750</v>
      </c>
      <c r="G196" s="21"/>
    </row>
    <row r="197" spans="1:9" ht="16.8" thickBot="1" x14ac:dyDescent="0.35">
      <c r="A197" s="68"/>
      <c r="B197" s="81" t="s">
        <v>231</v>
      </c>
      <c r="C197" s="78"/>
      <c r="D197" s="78"/>
      <c r="E197" s="125"/>
      <c r="F197" s="154">
        <f>SUM(F195:F196)</f>
        <v>2292750</v>
      </c>
      <c r="G197" s="21"/>
    </row>
    <row r="198" spans="1:9" ht="17.399999999999999" thickTop="1" thickBot="1" x14ac:dyDescent="0.35">
      <c r="A198" s="49"/>
      <c r="B198" s="79" t="s">
        <v>198</v>
      </c>
      <c r="C198" s="83"/>
      <c r="D198" s="83"/>
      <c r="E198" s="128"/>
      <c r="F198" s="146">
        <f>F160+F164+F185+F189+F193+F197</f>
        <v>912504462</v>
      </c>
      <c r="G198" s="21"/>
      <c r="I198" s="30"/>
    </row>
    <row r="199" spans="1:9" ht="16.2" thickTop="1" x14ac:dyDescent="0.3">
      <c r="A199" s="62" t="s">
        <v>73</v>
      </c>
      <c r="B199" s="31" t="s">
        <v>60</v>
      </c>
      <c r="C199" s="32"/>
      <c r="D199" s="33"/>
      <c r="E199" s="130"/>
      <c r="F199" s="149"/>
    </row>
    <row r="200" spans="1:9" ht="15.6" x14ac:dyDescent="0.3">
      <c r="A200" s="64"/>
      <c r="B200" s="3" t="s">
        <v>232</v>
      </c>
      <c r="C200" s="5"/>
      <c r="D200" s="4"/>
      <c r="E200" s="137"/>
      <c r="F200" s="147"/>
    </row>
    <row r="201" spans="1:9" ht="15.6" x14ac:dyDescent="0.3">
      <c r="A201" s="64"/>
      <c r="B201" s="1" t="s">
        <v>291</v>
      </c>
      <c r="C201" s="5" t="s">
        <v>0</v>
      </c>
      <c r="D201" s="4">
        <v>386</v>
      </c>
      <c r="E201" s="131">
        <v>520000</v>
      </c>
      <c r="F201" s="147">
        <f>E201*D201</f>
        <v>200720000</v>
      </c>
    </row>
    <row r="202" spans="1:9" ht="15.6" x14ac:dyDescent="0.3">
      <c r="A202" s="64"/>
      <c r="B202" s="13" t="s">
        <v>115</v>
      </c>
      <c r="C202" s="5"/>
      <c r="D202" s="4"/>
      <c r="E202" s="137"/>
      <c r="F202" s="147"/>
      <c r="H202" s="30"/>
    </row>
    <row r="203" spans="1:9" ht="15.6" x14ac:dyDescent="0.3">
      <c r="A203" s="64"/>
      <c r="B203" s="3" t="s">
        <v>61</v>
      </c>
      <c r="C203" s="5"/>
      <c r="D203" s="4"/>
      <c r="E203" s="137"/>
      <c r="F203" s="147"/>
    </row>
    <row r="204" spans="1:9" ht="17.399999999999999" x14ac:dyDescent="0.3">
      <c r="A204" s="66"/>
      <c r="B204" s="1" t="s">
        <v>290</v>
      </c>
      <c r="C204" s="5" t="s">
        <v>267</v>
      </c>
      <c r="D204" s="103">
        <v>15</v>
      </c>
      <c r="E204" s="131">
        <v>650000</v>
      </c>
      <c r="F204" s="147">
        <f>E204*D204</f>
        <v>9750000</v>
      </c>
    </row>
    <row r="205" spans="1:9" ht="17.399999999999999" x14ac:dyDescent="0.3">
      <c r="A205" s="66"/>
      <c r="B205" s="1" t="s">
        <v>289</v>
      </c>
      <c r="C205" s="5" t="s">
        <v>267</v>
      </c>
      <c r="D205" s="103">
        <v>1030</v>
      </c>
      <c r="E205" s="131">
        <v>430000</v>
      </c>
      <c r="F205" s="147">
        <f t="shared" ref="F205:F206" si="12">E205*D205</f>
        <v>442900000</v>
      </c>
    </row>
    <row r="206" spans="1:9" ht="17.399999999999999" x14ac:dyDescent="0.3">
      <c r="A206" s="66"/>
      <c r="B206" s="1" t="s">
        <v>286</v>
      </c>
      <c r="C206" s="5" t="s">
        <v>267</v>
      </c>
      <c r="D206" s="103">
        <v>165</v>
      </c>
      <c r="E206" s="131">
        <v>385000</v>
      </c>
      <c r="F206" s="147">
        <f t="shared" si="12"/>
        <v>63525000</v>
      </c>
    </row>
    <row r="207" spans="1:9" ht="15.6" x14ac:dyDescent="0.3">
      <c r="A207" s="66"/>
      <c r="B207" s="6" t="s">
        <v>278</v>
      </c>
      <c r="C207" s="8" t="s">
        <v>0</v>
      </c>
      <c r="D207" s="4">
        <v>21</v>
      </c>
      <c r="E207" s="131">
        <v>300000</v>
      </c>
      <c r="F207" s="147">
        <f>E207*D207</f>
        <v>6300000</v>
      </c>
    </row>
    <row r="208" spans="1:9" ht="15.6" x14ac:dyDescent="0.3">
      <c r="A208" s="66"/>
      <c r="B208" s="6" t="s">
        <v>281</v>
      </c>
      <c r="C208" s="8" t="s">
        <v>0</v>
      </c>
      <c r="D208" s="4">
        <v>12</v>
      </c>
      <c r="E208" s="131">
        <v>325000</v>
      </c>
      <c r="F208" s="147">
        <f t="shared" ref="F208:F211" si="13">E208*D208</f>
        <v>3900000</v>
      </c>
    </row>
    <row r="209" spans="1:8" ht="15.6" x14ac:dyDescent="0.3">
      <c r="A209" s="66"/>
      <c r="B209" s="6" t="s">
        <v>282</v>
      </c>
      <c r="C209" s="8" t="s">
        <v>0</v>
      </c>
      <c r="D209" s="4">
        <v>8</v>
      </c>
      <c r="E209" s="131">
        <v>450000</v>
      </c>
      <c r="F209" s="147">
        <f t="shared" si="13"/>
        <v>3600000</v>
      </c>
    </row>
    <row r="210" spans="1:8" ht="15.6" x14ac:dyDescent="0.3">
      <c r="A210" s="66"/>
      <c r="B210" s="1" t="s">
        <v>279</v>
      </c>
      <c r="C210" s="8" t="s">
        <v>0</v>
      </c>
      <c r="D210" s="4">
        <v>12</v>
      </c>
      <c r="E210" s="131">
        <v>320000</v>
      </c>
      <c r="F210" s="147">
        <f t="shared" si="13"/>
        <v>3840000</v>
      </c>
    </row>
    <row r="211" spans="1:8" ht="15.75" customHeight="1" x14ac:dyDescent="0.3">
      <c r="A211" s="66"/>
      <c r="B211" s="1" t="s">
        <v>280</v>
      </c>
      <c r="C211" s="8" t="s">
        <v>0</v>
      </c>
      <c r="D211" s="4">
        <v>50</v>
      </c>
      <c r="E211" s="131">
        <v>150000</v>
      </c>
      <c r="F211" s="147">
        <f t="shared" si="13"/>
        <v>7500000</v>
      </c>
    </row>
    <row r="212" spans="1:8" ht="15.6" x14ac:dyDescent="0.3">
      <c r="A212" s="66"/>
      <c r="B212" s="13" t="s">
        <v>116</v>
      </c>
      <c r="C212" s="5"/>
      <c r="D212" s="4"/>
      <c r="E212" s="131"/>
      <c r="F212" s="147"/>
    </row>
    <row r="213" spans="1:8" ht="15.75" customHeight="1" x14ac:dyDescent="0.3">
      <c r="A213" s="66"/>
      <c r="B213" s="3" t="s">
        <v>234</v>
      </c>
      <c r="C213" s="5"/>
      <c r="D213" s="4"/>
      <c r="E213" s="137"/>
      <c r="F213" s="147"/>
    </row>
    <row r="214" spans="1:8" ht="17.399999999999999" x14ac:dyDescent="0.3">
      <c r="A214" s="66"/>
      <c r="B214" s="1" t="s">
        <v>286</v>
      </c>
      <c r="C214" s="5" t="s">
        <v>267</v>
      </c>
      <c r="D214" s="103">
        <v>180</v>
      </c>
      <c r="E214" s="131">
        <v>385000</v>
      </c>
      <c r="F214" s="147">
        <f>E214*D214</f>
        <v>69300000</v>
      </c>
    </row>
    <row r="215" spans="1:8" ht="17.399999999999999" x14ac:dyDescent="0.3">
      <c r="A215" s="66"/>
      <c r="B215" s="1" t="s">
        <v>292</v>
      </c>
      <c r="C215" s="5" t="s">
        <v>267</v>
      </c>
      <c r="D215" s="103">
        <v>1400</v>
      </c>
      <c r="E215" s="131">
        <v>485000</v>
      </c>
      <c r="F215" s="147">
        <f>E215*D215</f>
        <v>679000000</v>
      </c>
    </row>
    <row r="216" spans="1:8" ht="15.6" x14ac:dyDescent="0.3">
      <c r="A216" s="66"/>
      <c r="B216" s="6" t="s">
        <v>281</v>
      </c>
      <c r="C216" s="8" t="s">
        <v>0</v>
      </c>
      <c r="D216" s="4">
        <v>30</v>
      </c>
      <c r="E216" s="131">
        <v>325000</v>
      </c>
      <c r="F216" s="147">
        <f>E216*D216</f>
        <v>9750000</v>
      </c>
    </row>
    <row r="217" spans="1:8" ht="15.6" x14ac:dyDescent="0.3">
      <c r="A217" s="66"/>
      <c r="B217" s="6" t="s">
        <v>282</v>
      </c>
      <c r="C217" s="8" t="s">
        <v>0</v>
      </c>
      <c r="D217" s="4">
        <v>4</v>
      </c>
      <c r="E217" s="131">
        <v>450000</v>
      </c>
      <c r="F217" s="147">
        <f t="shared" ref="F217:F220" si="14">E217*D217</f>
        <v>1800000</v>
      </c>
    </row>
    <row r="218" spans="1:8" ht="15.6" x14ac:dyDescent="0.3">
      <c r="A218" s="66"/>
      <c r="B218" s="6" t="s">
        <v>278</v>
      </c>
      <c r="C218" s="8" t="s">
        <v>0</v>
      </c>
      <c r="D218" s="4">
        <v>40</v>
      </c>
      <c r="E218" s="131">
        <v>300000</v>
      </c>
      <c r="F218" s="147">
        <f t="shared" si="14"/>
        <v>12000000</v>
      </c>
    </row>
    <row r="219" spans="1:8" ht="15.6" x14ac:dyDescent="0.3">
      <c r="A219" s="66"/>
      <c r="B219" s="1" t="s">
        <v>283</v>
      </c>
      <c r="C219" s="8" t="s">
        <v>0</v>
      </c>
      <c r="D219" s="4">
        <v>4</v>
      </c>
      <c r="E219" s="131">
        <v>250000</v>
      </c>
      <c r="F219" s="147">
        <f t="shared" si="14"/>
        <v>1000000</v>
      </c>
    </row>
    <row r="220" spans="1:8" ht="15.6" x14ac:dyDescent="0.3">
      <c r="A220" s="66"/>
      <c r="B220" s="1" t="s">
        <v>284</v>
      </c>
      <c r="C220" s="8" t="s">
        <v>0</v>
      </c>
      <c r="D220" s="4">
        <v>32</v>
      </c>
      <c r="E220" s="131">
        <v>120000</v>
      </c>
      <c r="F220" s="147">
        <f t="shared" si="14"/>
        <v>3840000</v>
      </c>
      <c r="H220" s="30"/>
    </row>
    <row r="221" spans="1:8" ht="16.2" thickBot="1" x14ac:dyDescent="0.35">
      <c r="A221" s="68"/>
      <c r="B221" s="85" t="s">
        <v>70</v>
      </c>
      <c r="C221" s="52"/>
      <c r="D221" s="14"/>
      <c r="E221" s="138"/>
      <c r="F221" s="148"/>
    </row>
    <row r="222" spans="1:8" ht="17.399999999999999" thickTop="1" thickBot="1" x14ac:dyDescent="0.35">
      <c r="A222" s="49"/>
      <c r="B222" s="50" t="s">
        <v>235</v>
      </c>
      <c r="C222" s="56"/>
      <c r="D222" s="46"/>
      <c r="E222" s="141"/>
      <c r="F222" s="146">
        <f>SUM(F201:F220)</f>
        <v>1518725000</v>
      </c>
      <c r="H222" s="30"/>
    </row>
    <row r="223" spans="1:8" ht="16.2" thickTop="1" x14ac:dyDescent="0.3">
      <c r="A223" s="62" t="s">
        <v>199</v>
      </c>
      <c r="B223" s="31" t="s">
        <v>71</v>
      </c>
      <c r="C223" s="54"/>
      <c r="D223" s="33"/>
      <c r="E223" s="135"/>
      <c r="F223" s="149"/>
    </row>
    <row r="224" spans="1:8" ht="16.2" thickBot="1" x14ac:dyDescent="0.35">
      <c r="A224" s="68"/>
      <c r="B224" s="48" t="s">
        <v>287</v>
      </c>
      <c r="C224" s="40" t="s">
        <v>11</v>
      </c>
      <c r="D224" s="104">
        <v>350</v>
      </c>
      <c r="E224" s="138">
        <v>98000</v>
      </c>
      <c r="F224" s="148">
        <f>D224*E224</f>
        <v>34300000</v>
      </c>
    </row>
    <row r="225" spans="1:6" ht="17.399999999999999" thickTop="1" thickBot="1" x14ac:dyDescent="0.35">
      <c r="A225" s="49"/>
      <c r="B225" s="50" t="s">
        <v>81</v>
      </c>
      <c r="C225" s="51"/>
      <c r="D225" s="46"/>
      <c r="E225" s="134"/>
      <c r="F225" s="146">
        <f>SUM(F224)</f>
        <v>34300000</v>
      </c>
    </row>
    <row r="226" spans="1:6" ht="16.2" thickTop="1" x14ac:dyDescent="0.3">
      <c r="A226" s="62" t="s">
        <v>200</v>
      </c>
      <c r="B226" s="31" t="s">
        <v>74</v>
      </c>
      <c r="C226" s="32"/>
      <c r="D226" s="33"/>
      <c r="E226" s="130"/>
      <c r="F226" s="149"/>
    </row>
    <row r="227" spans="1:6" ht="16.2" thickBot="1" x14ac:dyDescent="0.35">
      <c r="A227" s="73"/>
      <c r="B227" s="38" t="s">
        <v>285</v>
      </c>
      <c r="C227" s="52" t="s">
        <v>0</v>
      </c>
      <c r="D227" s="14">
        <v>2</v>
      </c>
      <c r="E227" s="138">
        <f>750*650*2</f>
        <v>975000</v>
      </c>
      <c r="F227" s="148">
        <f>E227*D227</f>
        <v>1950000</v>
      </c>
    </row>
    <row r="228" spans="1:6" ht="17.399999999999999" thickTop="1" thickBot="1" x14ac:dyDescent="0.35">
      <c r="A228" s="55"/>
      <c r="B228" s="50" t="s">
        <v>201</v>
      </c>
      <c r="C228" s="56"/>
      <c r="D228" s="46"/>
      <c r="E228" s="141"/>
      <c r="F228" s="146">
        <f>SUM(F227)</f>
        <v>1950000</v>
      </c>
    </row>
    <row r="229" spans="1:6" ht="16.2" thickTop="1" x14ac:dyDescent="0.3">
      <c r="A229" s="62" t="s">
        <v>86</v>
      </c>
      <c r="B229" s="31" t="s">
        <v>236</v>
      </c>
      <c r="C229" s="32"/>
      <c r="D229" s="33"/>
      <c r="E229" s="130"/>
      <c r="F229" s="149"/>
    </row>
    <row r="230" spans="1:6" ht="15.6" x14ac:dyDescent="0.3">
      <c r="A230" s="64"/>
      <c r="B230" s="1" t="s">
        <v>76</v>
      </c>
      <c r="C230" s="5" t="s">
        <v>0</v>
      </c>
      <c r="D230" s="4">
        <v>2</v>
      </c>
      <c r="E230" s="131">
        <v>500000</v>
      </c>
      <c r="F230" s="147">
        <f>E230*D230</f>
        <v>1000000</v>
      </c>
    </row>
    <row r="231" spans="1:6" ht="15.6" x14ac:dyDescent="0.3">
      <c r="A231" s="64"/>
      <c r="B231" s="1" t="s">
        <v>77</v>
      </c>
      <c r="C231" s="5" t="s">
        <v>0</v>
      </c>
      <c r="D231" s="4">
        <v>2</v>
      </c>
      <c r="E231" s="131">
        <v>800000</v>
      </c>
      <c r="F231" s="147">
        <f t="shared" ref="F231:F233" si="15">E231*D231</f>
        <v>1600000</v>
      </c>
    </row>
    <row r="232" spans="1:6" ht="15.6" x14ac:dyDescent="0.3">
      <c r="A232" s="64"/>
      <c r="B232" s="1" t="s">
        <v>78</v>
      </c>
      <c r="C232" s="5" t="s">
        <v>79</v>
      </c>
      <c r="D232" s="4">
        <v>1</v>
      </c>
      <c r="E232" s="131">
        <v>1200000</v>
      </c>
      <c r="F232" s="147">
        <f t="shared" si="15"/>
        <v>1200000</v>
      </c>
    </row>
    <row r="233" spans="1:6" ht="16.2" thickBot="1" x14ac:dyDescent="0.35">
      <c r="A233" s="73"/>
      <c r="B233" s="38" t="s">
        <v>80</v>
      </c>
      <c r="C233" s="52" t="s">
        <v>0</v>
      </c>
      <c r="D233" s="14">
        <v>2</v>
      </c>
      <c r="E233" s="138">
        <v>800000</v>
      </c>
      <c r="F233" s="147">
        <f t="shared" si="15"/>
        <v>1600000</v>
      </c>
    </row>
    <row r="234" spans="1:6" ht="17.399999999999999" thickTop="1" thickBot="1" x14ac:dyDescent="0.35">
      <c r="A234" s="55"/>
      <c r="B234" s="50" t="s">
        <v>202</v>
      </c>
      <c r="C234" s="56"/>
      <c r="D234" s="46"/>
      <c r="E234" s="141"/>
      <c r="F234" s="146">
        <f>SUM(F230:F233)</f>
        <v>5400000</v>
      </c>
    </row>
    <row r="235" spans="1:6" ht="16.2" thickTop="1" x14ac:dyDescent="0.3">
      <c r="A235" s="62" t="s">
        <v>203</v>
      </c>
      <c r="B235" s="31" t="s">
        <v>82</v>
      </c>
      <c r="C235" s="32"/>
      <c r="D235" s="33"/>
      <c r="E235" s="130"/>
      <c r="F235" s="149"/>
    </row>
    <row r="236" spans="1:6" ht="15.6" x14ac:dyDescent="0.3">
      <c r="A236" s="64"/>
      <c r="B236" s="3" t="s">
        <v>114</v>
      </c>
      <c r="C236" s="5"/>
      <c r="D236" s="4"/>
      <c r="E236" s="137"/>
      <c r="F236" s="147"/>
    </row>
    <row r="237" spans="1:6" ht="18.600000000000001" x14ac:dyDescent="0.3">
      <c r="A237" s="64"/>
      <c r="B237" s="6" t="s">
        <v>296</v>
      </c>
      <c r="C237" s="8" t="s">
        <v>265</v>
      </c>
      <c r="D237" s="103">
        <v>9506</v>
      </c>
      <c r="E237" s="131">
        <v>25000</v>
      </c>
      <c r="F237" s="147">
        <f>E237*D237</f>
        <v>237650000</v>
      </c>
    </row>
    <row r="238" spans="1:6" ht="15.6" x14ac:dyDescent="0.3">
      <c r="A238" s="64"/>
      <c r="B238" s="13" t="s">
        <v>118</v>
      </c>
      <c r="C238" s="8"/>
      <c r="D238" s="103"/>
      <c r="E238" s="131"/>
      <c r="F238" s="147"/>
    </row>
    <row r="239" spans="1:6" ht="15.6" x14ac:dyDescent="0.3">
      <c r="A239" s="66"/>
      <c r="B239" s="3" t="s">
        <v>83</v>
      </c>
      <c r="C239" s="5"/>
      <c r="D239" s="103"/>
      <c r="E239" s="137"/>
      <c r="F239" s="147"/>
    </row>
    <row r="240" spans="1:6" ht="18.600000000000001" x14ac:dyDescent="0.3">
      <c r="A240" s="64"/>
      <c r="B240" s="6" t="s">
        <v>297</v>
      </c>
      <c r="C240" s="8" t="s">
        <v>265</v>
      </c>
      <c r="D240" s="103">
        <v>9625</v>
      </c>
      <c r="E240" s="131">
        <v>25000</v>
      </c>
      <c r="F240" s="147">
        <f>E240*D240</f>
        <v>240625000</v>
      </c>
    </row>
    <row r="241" spans="1:6" ht="18.600000000000001" x14ac:dyDescent="0.3">
      <c r="A241" s="66"/>
      <c r="B241" s="6" t="s">
        <v>298</v>
      </c>
      <c r="C241" s="8" t="s">
        <v>265</v>
      </c>
      <c r="D241" s="103">
        <v>80</v>
      </c>
      <c r="E241" s="131">
        <v>32000</v>
      </c>
      <c r="F241" s="147">
        <f t="shared" ref="F241:F247" si="16">E241*D241</f>
        <v>2560000</v>
      </c>
    </row>
    <row r="242" spans="1:6" ht="18.600000000000001" x14ac:dyDescent="0.3">
      <c r="A242" s="66"/>
      <c r="B242" s="6" t="s">
        <v>299</v>
      </c>
      <c r="C242" s="8" t="s">
        <v>265</v>
      </c>
      <c r="D242" s="103">
        <v>377</v>
      </c>
      <c r="E242" s="131">
        <v>22000</v>
      </c>
      <c r="F242" s="147">
        <f t="shared" si="16"/>
        <v>8294000</v>
      </c>
    </row>
    <row r="243" spans="1:6" ht="15.6" x14ac:dyDescent="0.3">
      <c r="A243" s="64"/>
      <c r="B243" s="13" t="s">
        <v>84</v>
      </c>
      <c r="C243" s="8"/>
      <c r="D243" s="103"/>
      <c r="E243" s="131"/>
      <c r="F243" s="147"/>
    </row>
    <row r="244" spans="1:6" ht="15.6" x14ac:dyDescent="0.3">
      <c r="A244" s="64"/>
      <c r="B244" s="3" t="s">
        <v>233</v>
      </c>
      <c r="C244" s="5"/>
      <c r="D244" s="103"/>
      <c r="E244" s="137"/>
      <c r="F244" s="147"/>
    </row>
    <row r="245" spans="1:6" ht="18.600000000000001" x14ac:dyDescent="0.3">
      <c r="A245" s="66"/>
      <c r="B245" s="6" t="s">
        <v>297</v>
      </c>
      <c r="C245" s="8" t="s">
        <v>265</v>
      </c>
      <c r="D245" s="103">
        <v>23765</v>
      </c>
      <c r="E245" s="131">
        <v>25000</v>
      </c>
      <c r="F245" s="147">
        <f t="shared" si="16"/>
        <v>594125000</v>
      </c>
    </row>
    <row r="246" spans="1:6" ht="18.600000000000001" x14ac:dyDescent="0.3">
      <c r="A246" s="66"/>
      <c r="B246" s="6" t="s">
        <v>300</v>
      </c>
      <c r="C246" s="8" t="s">
        <v>265</v>
      </c>
      <c r="D246" s="103">
        <v>250</v>
      </c>
      <c r="E246" s="131">
        <v>32000</v>
      </c>
      <c r="F246" s="147">
        <f t="shared" si="16"/>
        <v>8000000</v>
      </c>
    </row>
    <row r="247" spans="1:6" ht="18.600000000000001" x14ac:dyDescent="0.3">
      <c r="A247" s="66"/>
      <c r="B247" s="6" t="s">
        <v>299</v>
      </c>
      <c r="C247" s="8" t="s">
        <v>265</v>
      </c>
      <c r="D247" s="103">
        <v>370</v>
      </c>
      <c r="E247" s="131">
        <v>22000</v>
      </c>
      <c r="F247" s="147">
        <f t="shared" si="16"/>
        <v>8140000</v>
      </c>
    </row>
    <row r="248" spans="1:6" ht="16.2" thickBot="1" x14ac:dyDescent="0.35">
      <c r="A248" s="68"/>
      <c r="B248" s="38" t="s">
        <v>85</v>
      </c>
      <c r="C248" s="40"/>
      <c r="D248" s="14"/>
      <c r="E248" s="138"/>
      <c r="F248" s="148"/>
    </row>
    <row r="249" spans="1:6" ht="17.399999999999999" thickTop="1" thickBot="1" x14ac:dyDescent="0.35">
      <c r="A249" s="49"/>
      <c r="B249" s="50" t="s">
        <v>204</v>
      </c>
      <c r="C249" s="51"/>
      <c r="D249" s="46"/>
      <c r="E249" s="134"/>
      <c r="F249" s="146">
        <f>SUM(F237:F247)</f>
        <v>1099394000</v>
      </c>
    </row>
    <row r="250" spans="1:6" ht="16.2" thickTop="1" x14ac:dyDescent="0.3">
      <c r="A250" s="62" t="s">
        <v>89</v>
      </c>
      <c r="B250" s="31" t="s">
        <v>87</v>
      </c>
      <c r="C250" s="54"/>
      <c r="D250" s="33"/>
      <c r="E250" s="135"/>
      <c r="F250" s="149"/>
    </row>
    <row r="251" spans="1:6" ht="19.2" thickBot="1" x14ac:dyDescent="0.35">
      <c r="A251" s="68"/>
      <c r="B251" s="85" t="s">
        <v>249</v>
      </c>
      <c r="C251" s="40" t="s">
        <v>265</v>
      </c>
      <c r="D251" s="104">
        <v>1200</v>
      </c>
      <c r="E251" s="138">
        <v>25000</v>
      </c>
      <c r="F251" s="148">
        <f>E251*D251</f>
        <v>30000000</v>
      </c>
    </row>
    <row r="252" spans="1:6" ht="17.399999999999999" thickTop="1" thickBot="1" x14ac:dyDescent="0.35">
      <c r="A252" s="49"/>
      <c r="B252" s="50" t="s">
        <v>205</v>
      </c>
      <c r="C252" s="51"/>
      <c r="D252" s="112"/>
      <c r="E252" s="134"/>
      <c r="F252" s="146">
        <f>E251*D251</f>
        <v>30000000</v>
      </c>
    </row>
    <row r="253" spans="1:6" ht="16.2" thickTop="1" x14ac:dyDescent="0.3">
      <c r="A253" s="62" t="s">
        <v>91</v>
      </c>
      <c r="B253" s="31" t="s">
        <v>88</v>
      </c>
      <c r="C253" s="54"/>
      <c r="D253" s="113"/>
      <c r="E253" s="135"/>
      <c r="F253" s="149"/>
    </row>
    <row r="254" spans="1:6" ht="18.600000000000001" x14ac:dyDescent="0.3">
      <c r="A254" s="66"/>
      <c r="B254" s="6" t="s">
        <v>295</v>
      </c>
      <c r="C254" s="8" t="s">
        <v>265</v>
      </c>
      <c r="D254" s="103">
        <v>3000</v>
      </c>
      <c r="E254" s="131">
        <v>4800</v>
      </c>
      <c r="F254" s="147">
        <f>E254*D254</f>
        <v>14400000</v>
      </c>
    </row>
    <row r="255" spans="1:6" ht="18.600000000000001" x14ac:dyDescent="0.3">
      <c r="A255" s="73"/>
      <c r="B255" s="48" t="s">
        <v>294</v>
      </c>
      <c r="C255" s="40" t="s">
        <v>265</v>
      </c>
      <c r="D255" s="104">
        <v>70350</v>
      </c>
      <c r="E255" s="138">
        <v>5600</v>
      </c>
      <c r="F255" s="147">
        <f t="shared" ref="F255:F256" si="17">E255*D255</f>
        <v>393960000</v>
      </c>
    </row>
    <row r="256" spans="1:6" ht="19.2" thickBot="1" x14ac:dyDescent="0.35">
      <c r="A256" s="151"/>
      <c r="B256" s="48" t="s">
        <v>293</v>
      </c>
      <c r="C256" s="40" t="s">
        <v>265</v>
      </c>
      <c r="D256" s="104">
        <v>10030</v>
      </c>
      <c r="E256" s="138">
        <v>6200</v>
      </c>
      <c r="F256" s="147">
        <f t="shared" si="17"/>
        <v>62186000</v>
      </c>
    </row>
    <row r="257" spans="1:6" ht="17.399999999999999" thickTop="1" thickBot="1" x14ac:dyDescent="0.35">
      <c r="A257" s="55"/>
      <c r="B257" s="50" t="s">
        <v>206</v>
      </c>
      <c r="C257" s="51"/>
      <c r="D257" s="112"/>
      <c r="E257" s="134"/>
      <c r="F257" s="146">
        <f>SUM(F254:F256)</f>
        <v>470546000</v>
      </c>
    </row>
    <row r="258" spans="1:6" ht="16.2" thickTop="1" x14ac:dyDescent="0.3">
      <c r="A258" s="62" t="s">
        <v>207</v>
      </c>
      <c r="B258" s="31" t="s">
        <v>90</v>
      </c>
      <c r="C258" s="54"/>
      <c r="D258" s="113"/>
      <c r="E258" s="135"/>
      <c r="F258" s="149"/>
    </row>
    <row r="259" spans="1:6" ht="19.2" thickBot="1" x14ac:dyDescent="0.35">
      <c r="A259" s="73"/>
      <c r="B259" s="48" t="s">
        <v>288</v>
      </c>
      <c r="C259" s="40" t="s">
        <v>265</v>
      </c>
      <c r="D259" s="104">
        <v>815</v>
      </c>
      <c r="E259" s="138">
        <v>125000</v>
      </c>
      <c r="F259" s="148">
        <f>E259*D259</f>
        <v>101875000</v>
      </c>
    </row>
    <row r="260" spans="1:6" ht="17.399999999999999" thickTop="1" thickBot="1" x14ac:dyDescent="0.35">
      <c r="A260" s="55"/>
      <c r="B260" s="50" t="s">
        <v>208</v>
      </c>
      <c r="C260" s="51"/>
      <c r="D260" s="46"/>
      <c r="E260" s="134"/>
      <c r="F260" s="146">
        <f>SUM(F259)</f>
        <v>101875000</v>
      </c>
    </row>
    <row r="261" spans="1:6" ht="16.2" thickTop="1" x14ac:dyDescent="0.3">
      <c r="A261" s="176" t="s">
        <v>209</v>
      </c>
      <c r="B261" s="177" t="s">
        <v>92</v>
      </c>
      <c r="C261" s="178"/>
      <c r="D261" s="179"/>
      <c r="E261" s="180"/>
      <c r="F261" s="181"/>
    </row>
    <row r="262" spans="1:6" ht="15.6" x14ac:dyDescent="0.3">
      <c r="A262" s="64"/>
      <c r="B262" s="6" t="s">
        <v>50</v>
      </c>
      <c r="C262" s="8" t="s">
        <v>10</v>
      </c>
      <c r="D262" s="4">
        <v>10030</v>
      </c>
      <c r="E262" s="131">
        <v>1452</v>
      </c>
      <c r="F262" s="147">
        <f>E262*D262</f>
        <v>14563560</v>
      </c>
    </row>
    <row r="263" spans="1:6" ht="15.6" x14ac:dyDescent="0.3">
      <c r="A263" s="64"/>
      <c r="B263" s="6" t="s">
        <v>93</v>
      </c>
      <c r="C263" s="8" t="s">
        <v>11</v>
      </c>
      <c r="D263" s="103">
        <v>8700</v>
      </c>
      <c r="E263" s="131">
        <v>3260</v>
      </c>
      <c r="F263" s="147">
        <f t="shared" ref="F263:F265" si="18">E263*D263</f>
        <v>28362000</v>
      </c>
    </row>
    <row r="264" spans="1:6" ht="18.600000000000001" x14ac:dyDescent="0.3">
      <c r="A264" s="64"/>
      <c r="B264" s="6" t="s">
        <v>244</v>
      </c>
      <c r="C264" s="8" t="s">
        <v>265</v>
      </c>
      <c r="D264" s="103">
        <v>540</v>
      </c>
      <c r="E264" s="131">
        <v>14800</v>
      </c>
      <c r="F264" s="147">
        <f t="shared" si="18"/>
        <v>7992000</v>
      </c>
    </row>
    <row r="265" spans="1:6" ht="19.2" thickBot="1" x14ac:dyDescent="0.35">
      <c r="A265" s="73"/>
      <c r="B265" s="48" t="s">
        <v>94</v>
      </c>
      <c r="C265" s="40" t="s">
        <v>264</v>
      </c>
      <c r="D265" s="104">
        <v>610</v>
      </c>
      <c r="E265" s="138">
        <v>118500</v>
      </c>
      <c r="F265" s="147">
        <f t="shared" si="18"/>
        <v>72285000</v>
      </c>
    </row>
    <row r="266" spans="1:6" ht="17.399999999999999" thickTop="1" thickBot="1" x14ac:dyDescent="0.35">
      <c r="A266" s="55"/>
      <c r="B266" s="50" t="s">
        <v>210</v>
      </c>
      <c r="C266" s="51"/>
      <c r="D266" s="46"/>
      <c r="E266" s="134"/>
      <c r="F266" s="146">
        <f>SUM(F262:F265)</f>
        <v>123202560</v>
      </c>
    </row>
    <row r="267" spans="1:6" ht="16.2" thickTop="1" x14ac:dyDescent="0.3">
      <c r="A267" s="62" t="s">
        <v>211</v>
      </c>
      <c r="B267" s="31" t="s">
        <v>95</v>
      </c>
      <c r="C267" s="34"/>
      <c r="D267" s="33"/>
      <c r="E267" s="130"/>
      <c r="F267" s="149"/>
    </row>
    <row r="268" spans="1:6" ht="16.2" thickBot="1" x14ac:dyDescent="0.35">
      <c r="A268" s="73"/>
      <c r="B268" s="48" t="s">
        <v>96</v>
      </c>
      <c r="C268" s="40" t="s">
        <v>3</v>
      </c>
      <c r="D268" s="14">
        <v>1</v>
      </c>
      <c r="E268" s="138">
        <v>2500000</v>
      </c>
      <c r="F268" s="148">
        <f>E268*D268</f>
        <v>2500000</v>
      </c>
    </row>
    <row r="269" spans="1:6" ht="19.8" customHeight="1" thickTop="1" thickBot="1" x14ac:dyDescent="0.35">
      <c r="A269" s="87"/>
      <c r="B269" s="50" t="s">
        <v>212</v>
      </c>
      <c r="C269" s="51"/>
      <c r="D269" s="46"/>
      <c r="E269" s="134"/>
      <c r="F269" s="146">
        <v>2500000</v>
      </c>
    </row>
    <row r="270" spans="1:6" ht="19.8" customHeight="1" thickTop="1" thickBot="1" x14ac:dyDescent="0.35">
      <c r="A270" s="160"/>
      <c r="B270" s="161"/>
      <c r="C270" s="162"/>
      <c r="D270" s="163"/>
      <c r="E270" s="164"/>
      <c r="F270" s="165"/>
    </row>
    <row r="271" spans="1:6" ht="27.6" customHeight="1" thickTop="1" thickBot="1" x14ac:dyDescent="0.3">
      <c r="A271" s="166"/>
      <c r="B271" s="173" t="s">
        <v>302</v>
      </c>
      <c r="C271" s="167"/>
      <c r="D271" s="168"/>
      <c r="E271" s="169"/>
      <c r="F271" s="170">
        <f>F14+F46+F68+F91+F101+F106+F111+F114+F118+F155+F198+F222+F225+F228+F234+F249+F252+257+F260+F266+F269</f>
        <v>7824003429</v>
      </c>
    </row>
    <row r="272" spans="1:6" ht="21.6" thickTop="1" thickBot="1" x14ac:dyDescent="0.3">
      <c r="A272" s="171"/>
      <c r="B272" s="174" t="s">
        <v>303</v>
      </c>
      <c r="C272" s="114"/>
      <c r="D272" s="115"/>
      <c r="E272" s="116"/>
      <c r="F272" s="172">
        <f>F271*5/100</f>
        <v>391200171.44999999</v>
      </c>
    </row>
    <row r="273" spans="1:6" ht="21.6" thickTop="1" thickBot="1" x14ac:dyDescent="0.3">
      <c r="A273" s="171"/>
      <c r="B273" s="174" t="s">
        <v>304</v>
      </c>
      <c r="C273" s="114"/>
      <c r="D273" s="115"/>
      <c r="E273" s="116"/>
      <c r="F273" s="172">
        <f>F271-F272</f>
        <v>7432803257.5500002</v>
      </c>
    </row>
    <row r="274" spans="1:6" ht="21.6" thickTop="1" thickBot="1" x14ac:dyDescent="0.3">
      <c r="A274" s="182"/>
      <c r="B274" s="183" t="s">
        <v>305</v>
      </c>
      <c r="C274" s="184"/>
      <c r="D274" s="185"/>
      <c r="E274" s="186"/>
      <c r="F274" s="187">
        <f>F273*18/100</f>
        <v>1337904586.3590002</v>
      </c>
    </row>
    <row r="275" spans="1:6" ht="21.6" thickTop="1" thickBot="1" x14ac:dyDescent="0.3">
      <c r="A275" s="188"/>
      <c r="B275" s="189" t="s">
        <v>306</v>
      </c>
      <c r="C275" s="190"/>
      <c r="D275" s="191"/>
      <c r="E275" s="192"/>
      <c r="F275" s="193">
        <f>F273+F274</f>
        <v>8770707843.9090004</v>
      </c>
    </row>
    <row r="276" spans="1:6" ht="14.4" thickTop="1" x14ac:dyDescent="0.25">
      <c r="A276" s="158"/>
    </row>
    <row r="277" spans="1:6" ht="14.4" x14ac:dyDescent="0.3">
      <c r="B277" s="159" t="s">
        <v>307</v>
      </c>
    </row>
    <row r="279" spans="1:6" ht="14.4" x14ac:dyDescent="0.3">
      <c r="B279" s="175" t="s">
        <v>308</v>
      </c>
    </row>
    <row r="301" spans="1:6" ht="17.399999999999999" x14ac:dyDescent="0.3">
      <c r="B301" s="195" t="s">
        <v>213</v>
      </c>
      <c r="C301" s="195"/>
      <c r="D301" s="195"/>
      <c r="E301" s="195"/>
      <c r="F301" s="195"/>
    </row>
    <row r="302" spans="1:6" ht="14.4" thickBot="1" x14ac:dyDescent="0.3"/>
    <row r="303" spans="1:6" ht="18.600000000000001" thickTop="1" thickBot="1" x14ac:dyDescent="0.3">
      <c r="A303" s="97"/>
      <c r="B303" s="101" t="s">
        <v>214</v>
      </c>
      <c r="C303" s="100"/>
      <c r="D303" s="35"/>
    </row>
    <row r="304" spans="1:6" ht="32.4" thickTop="1" thickBot="1" x14ac:dyDescent="0.3">
      <c r="A304" s="98" t="s">
        <v>215</v>
      </c>
      <c r="B304" s="99" t="s">
        <v>216</v>
      </c>
      <c r="C304" s="99" t="s">
        <v>217</v>
      </c>
      <c r="D304" s="36"/>
    </row>
    <row r="305" spans="1:5" ht="15" thickTop="1" thickBot="1" x14ac:dyDescent="0.3">
      <c r="A305" s="97"/>
      <c r="B305" s="97"/>
      <c r="C305" s="97"/>
      <c r="D305" s="194"/>
    </row>
    <row r="306" spans="1:5" ht="16.2" thickTop="1" x14ac:dyDescent="0.3">
      <c r="A306" s="92" t="s">
        <v>1</v>
      </c>
      <c r="B306" s="31" t="s">
        <v>2</v>
      </c>
      <c r="C306" s="96"/>
      <c r="D306" s="194"/>
    </row>
    <row r="307" spans="1:5" ht="16.8" x14ac:dyDescent="0.3">
      <c r="A307" s="89" t="s">
        <v>5</v>
      </c>
      <c r="B307" s="9" t="s">
        <v>250</v>
      </c>
      <c r="C307" s="90"/>
      <c r="D307" s="194"/>
    </row>
    <row r="308" spans="1:5" ht="15.6" x14ac:dyDescent="0.3">
      <c r="A308" s="89" t="s">
        <v>13</v>
      </c>
      <c r="B308" s="3" t="s">
        <v>219</v>
      </c>
      <c r="C308" s="90"/>
      <c r="D308" s="194"/>
    </row>
    <row r="309" spans="1:5" ht="15.6" x14ac:dyDescent="0.3">
      <c r="A309" s="89" t="s">
        <v>36</v>
      </c>
      <c r="B309" s="13" t="s">
        <v>220</v>
      </c>
      <c r="C309" s="90"/>
      <c r="D309" s="194"/>
    </row>
    <row r="310" spans="1:5" ht="15.6" x14ac:dyDescent="0.3">
      <c r="A310" s="89" t="s">
        <v>48</v>
      </c>
      <c r="B310" s="13" t="s">
        <v>239</v>
      </c>
      <c r="C310" s="90"/>
      <c r="D310" s="194"/>
    </row>
    <row r="311" spans="1:5" ht="15.6" x14ac:dyDescent="0.3">
      <c r="A311" s="89" t="s">
        <v>111</v>
      </c>
      <c r="B311" s="3" t="s">
        <v>109</v>
      </c>
      <c r="C311" s="91"/>
      <c r="D311" s="194"/>
    </row>
    <row r="312" spans="1:5" ht="15.6" x14ac:dyDescent="0.3">
      <c r="A312" s="89" t="s">
        <v>123</v>
      </c>
      <c r="B312" s="3" t="s">
        <v>121</v>
      </c>
      <c r="C312" s="91"/>
      <c r="D312" s="194"/>
    </row>
    <row r="313" spans="1:5" ht="15.6" x14ac:dyDescent="0.3">
      <c r="A313" s="89" t="s">
        <v>58</v>
      </c>
      <c r="B313" s="3" t="s">
        <v>59</v>
      </c>
      <c r="C313" s="91"/>
      <c r="D313" s="194"/>
    </row>
    <row r="314" spans="1:5" ht="15.6" x14ac:dyDescent="0.3">
      <c r="A314" s="89" t="s">
        <v>125</v>
      </c>
      <c r="B314" s="3" t="s">
        <v>55</v>
      </c>
      <c r="C314" s="91"/>
      <c r="D314" s="194"/>
    </row>
    <row r="315" spans="1:5" ht="15.6" x14ac:dyDescent="0.3">
      <c r="A315" s="89" t="s">
        <v>195</v>
      </c>
      <c r="B315" s="24" t="s">
        <v>194</v>
      </c>
      <c r="C315" s="91"/>
      <c r="D315" s="194"/>
      <c r="E315" s="139"/>
    </row>
    <row r="316" spans="1:5" ht="15.6" x14ac:dyDescent="0.3">
      <c r="A316" s="89" t="s">
        <v>197</v>
      </c>
      <c r="B316" s="24" t="s">
        <v>193</v>
      </c>
      <c r="C316" s="91"/>
      <c r="D316" s="194"/>
    </row>
    <row r="317" spans="1:5" ht="15.6" x14ac:dyDescent="0.3">
      <c r="A317" s="92" t="s">
        <v>73</v>
      </c>
      <c r="B317" s="3" t="s">
        <v>60</v>
      </c>
      <c r="C317" s="91"/>
      <c r="D317" s="194"/>
    </row>
    <row r="318" spans="1:5" ht="15.6" x14ac:dyDescent="0.3">
      <c r="A318" s="89" t="s">
        <v>199</v>
      </c>
      <c r="B318" s="3" t="s">
        <v>71</v>
      </c>
      <c r="C318" s="91"/>
      <c r="D318" s="194"/>
    </row>
    <row r="319" spans="1:5" ht="15.6" x14ac:dyDescent="0.3">
      <c r="A319" s="89" t="s">
        <v>200</v>
      </c>
      <c r="B319" s="3" t="s">
        <v>74</v>
      </c>
      <c r="C319" s="91"/>
      <c r="D319" s="194"/>
    </row>
    <row r="320" spans="1:5" ht="15.6" x14ac:dyDescent="0.3">
      <c r="A320" s="89" t="s">
        <v>86</v>
      </c>
      <c r="B320" s="3" t="s">
        <v>240</v>
      </c>
      <c r="C320" s="91"/>
      <c r="D320" s="194"/>
    </row>
    <row r="321" spans="1:4" ht="15.6" x14ac:dyDescent="0.3">
      <c r="A321" s="89" t="s">
        <v>203</v>
      </c>
      <c r="B321" s="3" t="s">
        <v>82</v>
      </c>
      <c r="C321" s="91"/>
      <c r="D321" s="194"/>
    </row>
    <row r="322" spans="1:4" ht="15.6" x14ac:dyDescent="0.3">
      <c r="A322" s="89" t="s">
        <v>89</v>
      </c>
      <c r="B322" s="3" t="s">
        <v>87</v>
      </c>
      <c r="C322" s="91"/>
      <c r="D322" s="194"/>
    </row>
    <row r="323" spans="1:4" ht="15.6" x14ac:dyDescent="0.3">
      <c r="A323" s="89" t="s">
        <v>91</v>
      </c>
      <c r="B323" s="3" t="s">
        <v>88</v>
      </c>
      <c r="C323" s="91"/>
      <c r="D323" s="194"/>
    </row>
    <row r="324" spans="1:4" ht="15.6" x14ac:dyDescent="0.3">
      <c r="A324" s="89" t="s">
        <v>207</v>
      </c>
      <c r="B324" s="3" t="s">
        <v>90</v>
      </c>
      <c r="C324" s="91"/>
      <c r="D324" s="194"/>
    </row>
    <row r="325" spans="1:4" ht="15.6" x14ac:dyDescent="0.3">
      <c r="A325" s="89" t="s">
        <v>209</v>
      </c>
      <c r="B325" s="3" t="s">
        <v>92</v>
      </c>
      <c r="C325" s="91"/>
      <c r="D325" s="194"/>
    </row>
    <row r="326" spans="1:4" ht="16.2" thickBot="1" x14ac:dyDescent="0.35">
      <c r="A326" s="89" t="s">
        <v>211</v>
      </c>
      <c r="B326" s="3" t="s">
        <v>95</v>
      </c>
      <c r="C326" s="90"/>
      <c r="D326" s="194"/>
    </row>
    <row r="327" spans="1:4" ht="16.2" thickBot="1" x14ac:dyDescent="0.3">
      <c r="A327" s="93"/>
      <c r="B327" s="94" t="s">
        <v>218</v>
      </c>
      <c r="C327" s="95"/>
      <c r="D327" s="194"/>
    </row>
    <row r="328" spans="1:4" ht="14.4" thickTop="1" x14ac:dyDescent="0.25"/>
  </sheetData>
  <mergeCells count="3">
    <mergeCell ref="D305:D327"/>
    <mergeCell ref="B301:F301"/>
    <mergeCell ref="A3:F3"/>
  </mergeCells>
  <phoneticPr fontId="20" type="noConversion"/>
  <pageMargins left="0.70866141732283472" right="0.70866141732283472" top="0.35433070866141736" bottom="0.74803149606299213" header="0.31496062992125984" footer="0.31496062992125984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FE5F-C72B-4F1D-BBA3-4781E7FE68D5}">
  <dimension ref="A1:I76"/>
  <sheetViews>
    <sheetView topLeftCell="A45" workbookViewId="0">
      <selection activeCell="H58" sqref="H58"/>
    </sheetView>
  </sheetViews>
  <sheetFormatPr baseColWidth="10" defaultRowHeight="14.4" x14ac:dyDescent="0.3"/>
  <cols>
    <col min="1" max="1" width="8.109375" customWidth="1"/>
    <col min="2" max="2" width="63.21875" customWidth="1"/>
  </cols>
  <sheetData>
    <row r="1" spans="1:7" s="2" customFormat="1" ht="21.6" hidden="1" thickTop="1" thickBot="1" x14ac:dyDescent="0.35">
      <c r="A1" s="43" t="s">
        <v>197</v>
      </c>
      <c r="B1" s="47" t="s">
        <v>193</v>
      </c>
      <c r="C1" s="32"/>
      <c r="D1" s="32" t="s">
        <v>243</v>
      </c>
      <c r="E1" s="34"/>
      <c r="F1" s="70"/>
    </row>
    <row r="2" spans="1:7" s="2" customFormat="1" ht="16.2" hidden="1" thickTop="1" x14ac:dyDescent="0.3">
      <c r="A2" s="66"/>
      <c r="B2" s="26" t="s">
        <v>161</v>
      </c>
      <c r="C2" s="16"/>
      <c r="D2" s="16"/>
      <c r="E2" s="27"/>
      <c r="F2" s="67"/>
    </row>
    <row r="3" spans="1:7" s="2" customFormat="1" ht="49.8" hidden="1" customHeight="1" x14ac:dyDescent="0.3">
      <c r="A3" s="66"/>
      <c r="B3" s="18" t="s">
        <v>162</v>
      </c>
      <c r="C3" s="19" t="s">
        <v>144</v>
      </c>
      <c r="D3" s="28">
        <v>45000</v>
      </c>
      <c r="E3" s="25"/>
      <c r="F3" s="67"/>
      <c r="G3" s="21"/>
    </row>
    <row r="4" spans="1:7" s="2" customFormat="1" ht="31.8" hidden="1" customHeight="1" x14ac:dyDescent="0.3">
      <c r="A4" s="66"/>
      <c r="B4" s="18" t="s">
        <v>163</v>
      </c>
      <c r="C4" s="19" t="s">
        <v>144</v>
      </c>
      <c r="D4" s="19">
        <v>60</v>
      </c>
      <c r="E4" s="25"/>
      <c r="F4" s="67"/>
      <c r="G4" s="21"/>
    </row>
    <row r="5" spans="1:7" s="2" customFormat="1" ht="30" hidden="1" customHeight="1" x14ac:dyDescent="0.3">
      <c r="A5" s="66"/>
      <c r="B5" s="24" t="s">
        <v>226</v>
      </c>
      <c r="C5" s="8"/>
      <c r="D5" s="8"/>
      <c r="E5" s="6"/>
      <c r="F5" s="67"/>
      <c r="G5" s="21"/>
    </row>
    <row r="6" spans="1:7" s="2" customFormat="1" ht="30" hidden="1" customHeight="1" x14ac:dyDescent="0.3">
      <c r="A6" s="66"/>
      <c r="B6" s="15" t="s">
        <v>164</v>
      </c>
      <c r="C6" s="19"/>
      <c r="D6" s="19"/>
      <c r="E6" s="20"/>
      <c r="F6" s="67"/>
      <c r="G6" s="21"/>
    </row>
    <row r="7" spans="1:7" s="2" customFormat="1" ht="38.4" hidden="1" customHeight="1" x14ac:dyDescent="0.3">
      <c r="A7" s="66"/>
      <c r="B7" s="18" t="s">
        <v>246</v>
      </c>
      <c r="C7" s="19" t="s">
        <v>0</v>
      </c>
      <c r="D7" s="19">
        <v>1</v>
      </c>
      <c r="E7" s="20"/>
      <c r="F7" s="67"/>
      <c r="G7" s="21"/>
    </row>
    <row r="8" spans="1:7" s="2" customFormat="1" ht="30" hidden="1" customHeight="1" x14ac:dyDescent="0.3">
      <c r="A8" s="66"/>
      <c r="B8" s="18" t="s">
        <v>165</v>
      </c>
      <c r="C8" s="19" t="s">
        <v>0</v>
      </c>
      <c r="D8" s="19">
        <v>750</v>
      </c>
      <c r="E8" s="20"/>
      <c r="F8" s="67"/>
      <c r="G8" s="21"/>
    </row>
    <row r="9" spans="1:7" s="2" customFormat="1" ht="30" hidden="1" customHeight="1" x14ac:dyDescent="0.3">
      <c r="A9" s="66"/>
      <c r="B9" s="24" t="s">
        <v>227</v>
      </c>
      <c r="C9" s="19"/>
      <c r="D9" s="22"/>
      <c r="E9" s="20"/>
      <c r="F9" s="67"/>
      <c r="G9" s="21"/>
    </row>
    <row r="10" spans="1:7" s="2" customFormat="1" ht="30" hidden="1" customHeight="1" x14ac:dyDescent="0.3">
      <c r="A10" s="66"/>
      <c r="B10" s="15" t="s">
        <v>166</v>
      </c>
      <c r="C10" s="19"/>
      <c r="D10" s="22"/>
      <c r="E10" s="20"/>
      <c r="F10" s="67"/>
      <c r="G10" s="21"/>
    </row>
    <row r="11" spans="1:7" s="2" customFormat="1" ht="30" hidden="1" customHeight="1" x14ac:dyDescent="0.3">
      <c r="A11" s="66"/>
      <c r="B11" s="23" t="s">
        <v>167</v>
      </c>
      <c r="C11" s="8"/>
      <c r="D11" s="6"/>
      <c r="E11" s="6"/>
      <c r="F11" s="67"/>
      <c r="G11" s="21"/>
    </row>
    <row r="12" spans="1:7" s="2" customFormat="1" ht="30" hidden="1" customHeight="1" x14ac:dyDescent="0.3">
      <c r="A12" s="66"/>
      <c r="B12" s="18" t="s">
        <v>168</v>
      </c>
      <c r="C12" s="19" t="s">
        <v>144</v>
      </c>
      <c r="D12" s="28">
        <v>1000</v>
      </c>
      <c r="E12" s="25"/>
      <c r="F12" s="67"/>
      <c r="G12" s="21"/>
    </row>
    <row r="13" spans="1:7" s="2" customFormat="1" ht="30" hidden="1" customHeight="1" x14ac:dyDescent="0.3">
      <c r="A13" s="66"/>
      <c r="B13" s="18" t="s">
        <v>169</v>
      </c>
      <c r="C13" s="19" t="s">
        <v>0</v>
      </c>
      <c r="D13" s="19">
        <v>5</v>
      </c>
      <c r="E13" s="20"/>
      <c r="F13" s="67"/>
      <c r="G13" s="21"/>
    </row>
    <row r="14" spans="1:7" s="2" customFormat="1" ht="30" hidden="1" customHeight="1" x14ac:dyDescent="0.3">
      <c r="A14" s="66"/>
      <c r="B14" s="18" t="s">
        <v>170</v>
      </c>
      <c r="C14" s="19" t="s">
        <v>0</v>
      </c>
      <c r="D14" s="19">
        <v>5</v>
      </c>
      <c r="E14" s="20"/>
      <c r="F14" s="67"/>
      <c r="G14" s="21"/>
    </row>
    <row r="15" spans="1:7" s="2" customFormat="1" ht="30" hidden="1" customHeight="1" x14ac:dyDescent="0.3">
      <c r="A15" s="66"/>
      <c r="B15" s="23" t="s">
        <v>171</v>
      </c>
      <c r="C15" s="8"/>
      <c r="D15" s="8"/>
      <c r="E15" s="6"/>
      <c r="F15" s="67"/>
      <c r="G15" s="21"/>
    </row>
    <row r="16" spans="1:7" s="2" customFormat="1" ht="30" hidden="1" customHeight="1" x14ac:dyDescent="0.3">
      <c r="A16" s="66"/>
      <c r="B16" s="18" t="s">
        <v>172</v>
      </c>
      <c r="C16" s="19" t="s">
        <v>144</v>
      </c>
      <c r="D16" s="28">
        <v>9000</v>
      </c>
      <c r="E16" s="22"/>
      <c r="F16" s="67"/>
      <c r="G16" s="21"/>
    </row>
    <row r="17" spans="1:7" s="2" customFormat="1" ht="30" hidden="1" customHeight="1" x14ac:dyDescent="0.3">
      <c r="A17" s="66"/>
      <c r="B17" s="18" t="s">
        <v>173</v>
      </c>
      <c r="C17" s="19" t="s">
        <v>144</v>
      </c>
      <c r="D17" s="28">
        <v>9000</v>
      </c>
      <c r="E17" s="22"/>
      <c r="F17" s="67"/>
      <c r="G17" s="21"/>
    </row>
    <row r="18" spans="1:7" s="2" customFormat="1" ht="30" hidden="1" customHeight="1" x14ac:dyDescent="0.3">
      <c r="A18" s="66"/>
      <c r="B18" s="23" t="s">
        <v>174</v>
      </c>
      <c r="C18" s="8"/>
      <c r="D18" s="8"/>
      <c r="E18" s="6"/>
      <c r="F18" s="67"/>
      <c r="G18" s="21"/>
    </row>
    <row r="19" spans="1:7" s="2" customFormat="1" ht="30" hidden="1" customHeight="1" x14ac:dyDescent="0.3">
      <c r="A19" s="66"/>
      <c r="B19" s="18" t="s">
        <v>175</v>
      </c>
      <c r="C19" s="19" t="s">
        <v>144</v>
      </c>
      <c r="D19" s="28">
        <v>250000</v>
      </c>
      <c r="E19" s="22"/>
      <c r="F19" s="67"/>
      <c r="G19" s="21"/>
    </row>
    <row r="20" spans="1:7" s="2" customFormat="1" ht="30" hidden="1" customHeight="1" x14ac:dyDescent="0.3">
      <c r="A20" s="66"/>
      <c r="B20" s="18" t="s">
        <v>176</v>
      </c>
      <c r="C20" s="19" t="s">
        <v>144</v>
      </c>
      <c r="D20" s="28">
        <v>40000</v>
      </c>
      <c r="E20" s="22"/>
      <c r="F20" s="67"/>
      <c r="G20" s="21"/>
    </row>
    <row r="21" spans="1:7" s="2" customFormat="1" ht="30" hidden="1" customHeight="1" x14ac:dyDescent="0.3">
      <c r="A21" s="66"/>
      <c r="B21" s="18" t="s">
        <v>177</v>
      </c>
      <c r="C21" s="19" t="s">
        <v>0</v>
      </c>
      <c r="D21" s="19">
        <v>400</v>
      </c>
      <c r="E21" s="20"/>
      <c r="F21" s="67"/>
      <c r="G21" s="21"/>
    </row>
    <row r="22" spans="1:7" s="2" customFormat="1" ht="30" hidden="1" customHeight="1" x14ac:dyDescent="0.3">
      <c r="A22" s="66"/>
      <c r="B22" s="18" t="s">
        <v>178</v>
      </c>
      <c r="C22" s="19" t="s">
        <v>0</v>
      </c>
      <c r="D22" s="19">
        <v>400</v>
      </c>
      <c r="E22" s="20"/>
      <c r="F22" s="67"/>
      <c r="G22" s="21"/>
    </row>
    <row r="23" spans="1:7" s="2" customFormat="1" ht="30" hidden="1" customHeight="1" x14ac:dyDescent="0.3">
      <c r="A23" s="66"/>
      <c r="B23" s="18" t="s">
        <v>179</v>
      </c>
      <c r="C23" s="19" t="s">
        <v>0</v>
      </c>
      <c r="D23" s="28">
        <v>4000</v>
      </c>
      <c r="E23" s="22"/>
      <c r="F23" s="67"/>
      <c r="G23" s="21"/>
    </row>
    <row r="24" spans="1:7" s="2" customFormat="1" ht="30" hidden="1" customHeight="1" x14ac:dyDescent="0.3">
      <c r="A24" s="66"/>
      <c r="B24" s="23" t="s">
        <v>253</v>
      </c>
      <c r="C24" s="19" t="s">
        <v>144</v>
      </c>
      <c r="D24" s="28">
        <v>3500</v>
      </c>
      <c r="E24" s="22"/>
      <c r="F24" s="67"/>
      <c r="G24" s="21"/>
    </row>
    <row r="25" spans="1:7" s="2" customFormat="1" ht="30" hidden="1" customHeight="1" x14ac:dyDescent="0.3">
      <c r="A25" s="66"/>
      <c r="B25" s="18" t="s">
        <v>180</v>
      </c>
      <c r="C25" s="19" t="s">
        <v>144</v>
      </c>
      <c r="D25" s="28">
        <v>3200</v>
      </c>
      <c r="E25" s="22"/>
      <c r="F25" s="67"/>
      <c r="G25" s="21"/>
    </row>
    <row r="26" spans="1:7" s="2" customFormat="1" ht="30" hidden="1" customHeight="1" x14ac:dyDescent="0.3">
      <c r="A26" s="66"/>
      <c r="B26" s="18" t="s">
        <v>181</v>
      </c>
      <c r="C26" s="19" t="s">
        <v>144</v>
      </c>
      <c r="D26" s="19">
        <v>700</v>
      </c>
      <c r="E26" s="22"/>
      <c r="F26" s="67"/>
      <c r="G26" s="21"/>
    </row>
    <row r="27" spans="1:7" s="2" customFormat="1" ht="30" hidden="1" customHeight="1" x14ac:dyDescent="0.3">
      <c r="A27" s="66"/>
      <c r="B27" s="18" t="s">
        <v>182</v>
      </c>
      <c r="C27" s="19" t="s">
        <v>144</v>
      </c>
      <c r="D27" s="28">
        <v>3300</v>
      </c>
      <c r="E27" s="22"/>
      <c r="F27" s="67"/>
      <c r="G27" s="21"/>
    </row>
    <row r="28" spans="1:7" s="2" customFormat="1" ht="30" hidden="1" customHeight="1" x14ac:dyDescent="0.3">
      <c r="A28" s="66"/>
      <c r="B28" s="18" t="s">
        <v>183</v>
      </c>
      <c r="C28" s="19" t="s">
        <v>144</v>
      </c>
      <c r="D28" s="19">
        <v>800</v>
      </c>
      <c r="E28" s="20"/>
      <c r="F28" s="67"/>
      <c r="G28" s="21"/>
    </row>
    <row r="29" spans="1:7" s="2" customFormat="1" ht="30" hidden="1" customHeight="1" x14ac:dyDescent="0.3">
      <c r="A29" s="66"/>
      <c r="B29" s="18" t="s">
        <v>184</v>
      </c>
      <c r="C29" s="19" t="s">
        <v>144</v>
      </c>
      <c r="D29" s="28">
        <v>1000</v>
      </c>
      <c r="E29" s="20"/>
      <c r="F29" s="67"/>
      <c r="G29" s="21"/>
    </row>
    <row r="30" spans="1:7" s="2" customFormat="1" ht="30" hidden="1" customHeight="1" x14ac:dyDescent="0.3">
      <c r="A30" s="66"/>
      <c r="B30" s="29" t="s">
        <v>228</v>
      </c>
      <c r="C30" s="19"/>
      <c r="D30" s="28"/>
      <c r="E30" s="20"/>
      <c r="F30" s="67"/>
      <c r="G30" s="21"/>
    </row>
    <row r="31" spans="1:7" s="2" customFormat="1" ht="30" hidden="1" customHeight="1" x14ac:dyDescent="0.3">
      <c r="A31" s="66"/>
      <c r="B31" s="18" t="s">
        <v>185</v>
      </c>
      <c r="C31" s="19" t="s">
        <v>0</v>
      </c>
      <c r="D31" s="19">
        <v>50</v>
      </c>
      <c r="E31" s="20"/>
      <c r="F31" s="67"/>
      <c r="G31" s="21"/>
    </row>
    <row r="32" spans="1:7" s="2" customFormat="1" ht="30" hidden="1" customHeight="1" x14ac:dyDescent="0.3">
      <c r="A32" s="66"/>
      <c r="B32" s="18" t="s">
        <v>186</v>
      </c>
      <c r="C32" s="19" t="s">
        <v>0</v>
      </c>
      <c r="D32" s="19">
        <v>50</v>
      </c>
      <c r="E32" s="20"/>
      <c r="F32" s="67"/>
      <c r="G32" s="21"/>
    </row>
    <row r="33" spans="1:9" s="2" customFormat="1" ht="30" hidden="1" customHeight="1" x14ac:dyDescent="0.3">
      <c r="A33" s="66"/>
      <c r="B33" s="18" t="s">
        <v>187</v>
      </c>
      <c r="C33" s="19" t="s">
        <v>0</v>
      </c>
      <c r="D33" s="19">
        <v>10</v>
      </c>
      <c r="E33" s="20"/>
      <c r="F33" s="67"/>
      <c r="G33" s="21"/>
    </row>
    <row r="34" spans="1:9" s="2" customFormat="1" ht="30" hidden="1" customHeight="1" x14ac:dyDescent="0.3">
      <c r="A34" s="66"/>
      <c r="B34" s="29" t="s">
        <v>229</v>
      </c>
      <c r="C34" s="19"/>
      <c r="D34" s="19"/>
      <c r="E34" s="20"/>
      <c r="F34" s="67"/>
      <c r="G34" s="21"/>
    </row>
    <row r="35" spans="1:9" s="2" customFormat="1" ht="30" hidden="1" customHeight="1" x14ac:dyDescent="0.3">
      <c r="A35" s="66"/>
      <c r="B35" s="23" t="s">
        <v>188</v>
      </c>
      <c r="C35" s="8"/>
      <c r="D35" s="8"/>
      <c r="E35" s="6"/>
      <c r="F35" s="67"/>
      <c r="G35" s="21"/>
    </row>
    <row r="36" spans="1:9" s="2" customFormat="1" ht="30" hidden="1" customHeight="1" x14ac:dyDescent="0.3">
      <c r="A36" s="66"/>
      <c r="B36" s="18" t="s">
        <v>189</v>
      </c>
      <c r="C36" s="19" t="s">
        <v>0</v>
      </c>
      <c r="D36" s="19">
        <v>250</v>
      </c>
      <c r="E36" s="20"/>
      <c r="F36" s="67"/>
      <c r="G36" s="21"/>
    </row>
    <row r="37" spans="1:9" s="2" customFormat="1" ht="30" hidden="1" customHeight="1" x14ac:dyDescent="0.3">
      <c r="A37" s="66"/>
      <c r="B37" s="18" t="s">
        <v>190</v>
      </c>
      <c r="C37" s="19" t="s">
        <v>0</v>
      </c>
      <c r="D37" s="19">
        <v>750</v>
      </c>
      <c r="E37" s="20"/>
      <c r="F37" s="67"/>
      <c r="G37" s="21"/>
    </row>
    <row r="38" spans="1:9" s="2" customFormat="1" ht="30" hidden="1" customHeight="1" x14ac:dyDescent="0.3">
      <c r="A38" s="66"/>
      <c r="B38" s="29" t="s">
        <v>230</v>
      </c>
      <c r="C38" s="19"/>
      <c r="D38" s="19"/>
      <c r="E38" s="20"/>
      <c r="F38" s="67"/>
      <c r="G38" s="21"/>
    </row>
    <row r="39" spans="1:9" s="2" customFormat="1" ht="30" hidden="1" customHeight="1" x14ac:dyDescent="0.3">
      <c r="A39" s="66"/>
      <c r="B39" s="15" t="s">
        <v>254</v>
      </c>
      <c r="C39" s="19" t="s">
        <v>0</v>
      </c>
      <c r="D39" s="19">
        <v>50</v>
      </c>
      <c r="E39" s="20"/>
      <c r="F39" s="67"/>
      <c r="G39" s="21"/>
    </row>
    <row r="40" spans="1:9" s="2" customFormat="1" ht="30" hidden="1" customHeight="1" x14ac:dyDescent="0.3">
      <c r="A40" s="66"/>
      <c r="B40" s="18" t="s">
        <v>191</v>
      </c>
      <c r="C40" s="19" t="s">
        <v>0</v>
      </c>
      <c r="D40" s="19">
        <v>300</v>
      </c>
      <c r="E40" s="20"/>
      <c r="F40" s="67"/>
      <c r="G40" s="21"/>
    </row>
    <row r="41" spans="1:9" s="2" customFormat="1" ht="30" hidden="1" customHeight="1" x14ac:dyDescent="0.3">
      <c r="A41" s="66"/>
      <c r="B41" s="18" t="s">
        <v>192</v>
      </c>
      <c r="C41" s="19" t="s">
        <v>0</v>
      </c>
      <c r="D41" s="19">
        <v>30</v>
      </c>
      <c r="E41" s="20"/>
      <c r="F41" s="67"/>
      <c r="G41" s="21"/>
    </row>
    <row r="42" spans="1:9" s="2" customFormat="1" ht="30" hidden="1" customHeight="1" thickBot="1" x14ac:dyDescent="0.35">
      <c r="A42" s="68"/>
      <c r="B42" s="81" t="s">
        <v>231</v>
      </c>
      <c r="C42" s="78"/>
      <c r="D42" s="78"/>
      <c r="E42" s="82"/>
      <c r="F42" s="69"/>
      <c r="G42" s="21"/>
    </row>
    <row r="43" spans="1:9" s="2" customFormat="1" ht="16.8" hidden="1" thickTop="1" thickBot="1" x14ac:dyDescent="0.35">
      <c r="A43" s="49"/>
      <c r="B43" s="79" t="s">
        <v>198</v>
      </c>
      <c r="C43" s="83"/>
      <c r="D43" s="83"/>
      <c r="E43" s="84"/>
      <c r="F43" s="88"/>
      <c r="G43" s="21"/>
      <c r="I43" s="30"/>
    </row>
    <row r="44" spans="1:9" ht="15" hidden="1" thickTop="1" x14ac:dyDescent="0.3"/>
    <row r="45" spans="1:9" ht="15" thickBot="1" x14ac:dyDescent="0.35"/>
    <row r="46" spans="1:9" s="2" customFormat="1" ht="25.8" customHeight="1" thickTop="1" thickBot="1" x14ac:dyDescent="0.3">
      <c r="A46" s="107" t="s">
        <v>73</v>
      </c>
      <c r="B46" s="108" t="s">
        <v>60</v>
      </c>
      <c r="C46" s="109"/>
      <c r="D46" s="110"/>
      <c r="E46" s="111" t="s">
        <v>262</v>
      </c>
      <c r="F46" s="111" t="s">
        <v>263</v>
      </c>
    </row>
    <row r="47" spans="1:9" s="2" customFormat="1" ht="16.2" thickTop="1" x14ac:dyDescent="0.3">
      <c r="A47" s="62"/>
      <c r="B47" s="31" t="s">
        <v>232</v>
      </c>
      <c r="C47" s="32"/>
      <c r="D47" s="33"/>
      <c r="E47" s="34"/>
      <c r="F47" s="70"/>
    </row>
    <row r="48" spans="1:9" s="2" customFormat="1" ht="15.6" x14ac:dyDescent="0.3">
      <c r="A48" s="64"/>
      <c r="B48" s="1" t="s">
        <v>248</v>
      </c>
      <c r="C48" s="5" t="s">
        <v>0</v>
      </c>
      <c r="D48" s="4">
        <v>386</v>
      </c>
      <c r="E48" s="4"/>
      <c r="F48" s="67"/>
    </row>
    <row r="49" spans="1:8" s="2" customFormat="1" ht="15.6" x14ac:dyDescent="0.3">
      <c r="A49" s="64"/>
      <c r="B49" s="13" t="s">
        <v>115</v>
      </c>
      <c r="C49" s="5"/>
      <c r="D49" s="4"/>
      <c r="E49" s="1"/>
      <c r="F49" s="67"/>
      <c r="H49" s="30"/>
    </row>
    <row r="50" spans="1:8" s="2" customFormat="1" ht="15.6" x14ac:dyDescent="0.3">
      <c r="A50" s="64"/>
      <c r="B50" s="3" t="s">
        <v>61</v>
      </c>
      <c r="C50" s="5"/>
      <c r="D50" s="4"/>
      <c r="E50" s="1"/>
      <c r="F50" s="67"/>
    </row>
    <row r="51" spans="1:8" s="2" customFormat="1" ht="15.6" x14ac:dyDescent="0.3">
      <c r="A51" s="66"/>
      <c r="B51" s="1" t="s">
        <v>62</v>
      </c>
      <c r="C51" s="5" t="s">
        <v>9</v>
      </c>
      <c r="D51" s="4">
        <v>15</v>
      </c>
      <c r="E51" s="4"/>
      <c r="F51" s="67"/>
    </row>
    <row r="52" spans="1:8" s="2" customFormat="1" ht="15.6" x14ac:dyDescent="0.3">
      <c r="A52" s="66"/>
      <c r="B52" s="1" t="s">
        <v>63</v>
      </c>
      <c r="C52" s="5" t="s">
        <v>9</v>
      </c>
      <c r="D52" s="4">
        <v>1030</v>
      </c>
      <c r="E52" s="4"/>
      <c r="F52" s="67"/>
    </row>
    <row r="53" spans="1:8" s="2" customFormat="1" ht="15.6" x14ac:dyDescent="0.3">
      <c r="A53" s="66"/>
      <c r="B53" s="1" t="s">
        <v>64</v>
      </c>
      <c r="C53" s="5" t="s">
        <v>9</v>
      </c>
      <c r="D53" s="4">
        <v>165</v>
      </c>
      <c r="E53" s="4"/>
      <c r="F53" s="67"/>
    </row>
    <row r="54" spans="1:8" s="2" customFormat="1" ht="15.6" x14ac:dyDescent="0.3">
      <c r="A54" s="66"/>
      <c r="B54" s="6" t="s">
        <v>65</v>
      </c>
      <c r="C54" s="8" t="s">
        <v>0</v>
      </c>
      <c r="D54" s="4">
        <v>21</v>
      </c>
      <c r="E54" s="4"/>
      <c r="F54" s="67"/>
    </row>
    <row r="55" spans="1:8" s="2" customFormat="1" ht="15.6" x14ac:dyDescent="0.3">
      <c r="A55" s="66"/>
      <c r="B55" s="6" t="s">
        <v>66</v>
      </c>
      <c r="C55" s="8" t="s">
        <v>0</v>
      </c>
      <c r="D55" s="4">
        <v>12</v>
      </c>
      <c r="E55" s="4"/>
      <c r="F55" s="67"/>
    </row>
    <row r="56" spans="1:8" s="2" customFormat="1" ht="15.6" x14ac:dyDescent="0.3">
      <c r="A56" s="66"/>
      <c r="B56" s="6" t="s">
        <v>67</v>
      </c>
      <c r="C56" s="8" t="s">
        <v>0</v>
      </c>
      <c r="D56" s="4">
        <v>8</v>
      </c>
      <c r="E56" s="4"/>
      <c r="F56" s="67"/>
    </row>
    <row r="57" spans="1:8" s="2" customFormat="1" ht="15.6" x14ac:dyDescent="0.3">
      <c r="A57" s="66"/>
      <c r="B57" s="1" t="s">
        <v>255</v>
      </c>
      <c r="C57" s="8" t="s">
        <v>0</v>
      </c>
      <c r="D57" s="4">
        <v>12</v>
      </c>
      <c r="E57" s="4"/>
      <c r="F57" s="67"/>
    </row>
    <row r="58" spans="1:8" s="2" customFormat="1" ht="15.75" customHeight="1" x14ac:dyDescent="0.3">
      <c r="A58" s="66"/>
      <c r="B58" s="1" t="s">
        <v>256</v>
      </c>
      <c r="C58" s="8" t="s">
        <v>0</v>
      </c>
      <c r="D58" s="4">
        <v>50</v>
      </c>
      <c r="E58" s="4"/>
      <c r="F58" s="67"/>
    </row>
    <row r="59" spans="1:8" s="2" customFormat="1" ht="15.6" x14ac:dyDescent="0.3">
      <c r="A59" s="66"/>
      <c r="B59" s="13" t="s">
        <v>116</v>
      </c>
      <c r="C59" s="5"/>
      <c r="D59" s="4"/>
      <c r="E59" s="4"/>
      <c r="F59" s="67"/>
    </row>
    <row r="60" spans="1:8" s="2" customFormat="1" ht="15.75" customHeight="1" x14ac:dyDescent="0.3">
      <c r="A60" s="66"/>
      <c r="B60" s="3" t="s">
        <v>234</v>
      </c>
      <c r="C60" s="5"/>
      <c r="D60" s="4"/>
      <c r="E60" s="1"/>
      <c r="F60" s="67"/>
    </row>
    <row r="61" spans="1:8" s="2" customFormat="1" ht="15.6" x14ac:dyDescent="0.3">
      <c r="A61" s="66"/>
      <c r="B61" s="1" t="s">
        <v>64</v>
      </c>
      <c r="C61" s="1" t="s">
        <v>57</v>
      </c>
      <c r="D61" s="4">
        <v>180</v>
      </c>
      <c r="E61" s="4"/>
      <c r="F61" s="67"/>
    </row>
    <row r="62" spans="1:8" s="2" customFormat="1" ht="15.6" x14ac:dyDescent="0.3">
      <c r="A62" s="66"/>
      <c r="B62" s="1" t="s">
        <v>117</v>
      </c>
      <c r="C62" s="1" t="s">
        <v>57</v>
      </c>
      <c r="D62" s="4">
        <v>1400</v>
      </c>
      <c r="E62" s="4"/>
      <c r="F62" s="67"/>
    </row>
    <row r="63" spans="1:8" s="2" customFormat="1" ht="15.6" x14ac:dyDescent="0.3">
      <c r="A63" s="66"/>
      <c r="B63" s="6" t="s">
        <v>66</v>
      </c>
      <c r="C63" s="8" t="s">
        <v>0</v>
      </c>
      <c r="D63" s="4">
        <v>30</v>
      </c>
      <c r="E63" s="4"/>
      <c r="F63" s="67"/>
    </row>
    <row r="64" spans="1:8" s="2" customFormat="1" ht="15.6" x14ac:dyDescent="0.3">
      <c r="A64" s="66"/>
      <c r="B64" s="6" t="s">
        <v>67</v>
      </c>
      <c r="C64" s="8" t="s">
        <v>0</v>
      </c>
      <c r="D64" s="4">
        <v>4</v>
      </c>
      <c r="E64" s="4"/>
      <c r="F64" s="67"/>
    </row>
    <row r="65" spans="1:8" s="2" customFormat="1" ht="15.6" x14ac:dyDescent="0.3">
      <c r="A65" s="66"/>
      <c r="B65" s="6" t="s">
        <v>65</v>
      </c>
      <c r="C65" s="8" t="s">
        <v>0</v>
      </c>
      <c r="D65" s="4">
        <v>40</v>
      </c>
      <c r="E65" s="4"/>
      <c r="F65" s="67"/>
    </row>
    <row r="66" spans="1:8" s="2" customFormat="1" ht="15.6" x14ac:dyDescent="0.3">
      <c r="A66" s="66"/>
      <c r="B66" s="1" t="s">
        <v>68</v>
      </c>
      <c r="C66" s="8" t="s">
        <v>0</v>
      </c>
      <c r="D66" s="4">
        <v>4</v>
      </c>
      <c r="E66" s="4"/>
      <c r="F66" s="67"/>
    </row>
    <row r="67" spans="1:8" s="2" customFormat="1" ht="15.6" x14ac:dyDescent="0.3">
      <c r="A67" s="66"/>
      <c r="B67" s="1" t="s">
        <v>69</v>
      </c>
      <c r="C67" s="8" t="s">
        <v>0</v>
      </c>
      <c r="D67" s="4">
        <v>32</v>
      </c>
      <c r="E67" s="4"/>
      <c r="F67" s="67"/>
    </row>
    <row r="68" spans="1:8" s="2" customFormat="1" ht="16.2" thickBot="1" x14ac:dyDescent="0.35">
      <c r="A68" s="68"/>
      <c r="B68" s="85" t="s">
        <v>70</v>
      </c>
      <c r="C68" s="52"/>
      <c r="D68" s="14"/>
      <c r="E68" s="14"/>
      <c r="F68" s="69"/>
    </row>
    <row r="69" spans="1:8" s="2" customFormat="1" ht="16.8" thickTop="1" thickBot="1" x14ac:dyDescent="0.35">
      <c r="A69" s="49"/>
      <c r="B69" s="50" t="s">
        <v>235</v>
      </c>
      <c r="C69" s="56"/>
      <c r="D69" s="46"/>
      <c r="E69" s="86"/>
      <c r="F69" s="88"/>
      <c r="H69" s="30"/>
    </row>
    <row r="70" spans="1:8" s="2" customFormat="1" ht="16.2" thickTop="1" x14ac:dyDescent="0.3">
      <c r="A70" s="62" t="s">
        <v>199</v>
      </c>
      <c r="B70" s="31" t="s">
        <v>71</v>
      </c>
      <c r="C70" s="54"/>
      <c r="D70" s="33"/>
      <c r="E70" s="33"/>
      <c r="F70" s="70"/>
    </row>
    <row r="71" spans="1:8" s="2" customFormat="1" ht="16.2" thickBot="1" x14ac:dyDescent="0.35">
      <c r="A71" s="68"/>
      <c r="B71" s="48" t="s">
        <v>72</v>
      </c>
      <c r="C71" s="40" t="s">
        <v>11</v>
      </c>
      <c r="D71" s="14">
        <v>350</v>
      </c>
      <c r="E71" s="14"/>
      <c r="F71" s="69"/>
    </row>
    <row r="72" spans="1:8" s="2" customFormat="1" ht="16.8" thickTop="1" thickBot="1" x14ac:dyDescent="0.35">
      <c r="A72" s="49"/>
      <c r="B72" s="50" t="s">
        <v>81</v>
      </c>
      <c r="C72" s="51"/>
      <c r="D72" s="46"/>
      <c r="E72" s="46"/>
      <c r="F72" s="88"/>
    </row>
    <row r="73" spans="1:8" s="2" customFormat="1" ht="16.2" thickTop="1" x14ac:dyDescent="0.3">
      <c r="A73" s="62" t="s">
        <v>200</v>
      </c>
      <c r="B73" s="31" t="s">
        <v>74</v>
      </c>
      <c r="C73" s="32"/>
      <c r="D73" s="33"/>
      <c r="E73" s="34"/>
      <c r="F73" s="70"/>
    </row>
    <row r="74" spans="1:8" s="2" customFormat="1" ht="16.2" thickBot="1" x14ac:dyDescent="0.35">
      <c r="A74" s="73"/>
      <c r="B74" s="38" t="s">
        <v>245</v>
      </c>
      <c r="C74" s="38" t="s">
        <v>75</v>
      </c>
      <c r="D74" s="14">
        <v>2</v>
      </c>
      <c r="E74" s="14"/>
      <c r="F74" s="69"/>
    </row>
    <row r="75" spans="1:8" s="2" customFormat="1" ht="16.8" thickTop="1" thickBot="1" x14ac:dyDescent="0.35">
      <c r="A75" s="55"/>
      <c r="B75" s="50" t="s">
        <v>201</v>
      </c>
      <c r="C75" s="86"/>
      <c r="D75" s="46"/>
      <c r="E75" s="86"/>
      <c r="F75" s="88"/>
    </row>
    <row r="76" spans="1:8" ht="15" thickTop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AZBATIMENTS</cp:lastModifiedBy>
  <cp:lastPrinted>2024-06-10T12:32:08Z</cp:lastPrinted>
  <dcterms:created xsi:type="dcterms:W3CDTF">2022-05-07T11:30:29Z</dcterms:created>
  <dcterms:modified xsi:type="dcterms:W3CDTF">2024-06-10T14:12:12Z</dcterms:modified>
</cp:coreProperties>
</file>