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WAD\Desktop\PARTAGE ECM\GRADIAN - BASSAM\"/>
    </mc:Choice>
  </mc:AlternateContent>
  <bookViews>
    <workbookView xWindow="0" yWindow="0" windowWidth="20490" windowHeight="7350" activeTab="2"/>
  </bookViews>
  <sheets>
    <sheet name="RDC+Niv Courants + Penthouse" sheetId="1" r:id="rId1"/>
    <sheet name="Devis détaillé" sheetId="5" r:id="rId2"/>
    <sheet name="Récap Matériel" sheetId="6" r:id="rId3"/>
    <sheet name="Récap Surfaces Valorisé" sheetId="2" r:id="rId4"/>
    <sheet name="Récap Surface 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6" l="1"/>
  <c r="H31" i="6"/>
  <c r="H30" i="6"/>
  <c r="C87" i="6"/>
  <c r="C50" i="6"/>
  <c r="C54" i="6" s="1"/>
  <c r="C58" i="6" s="1"/>
  <c r="C24" i="6"/>
  <c r="C92" i="6" l="1"/>
  <c r="C92" i="5"/>
  <c r="G87" i="5"/>
  <c r="C87" i="5"/>
  <c r="I86" i="5"/>
  <c r="I87" i="5" s="1"/>
  <c r="I88" i="5" s="1"/>
  <c r="I89" i="5" s="1"/>
  <c r="I90" i="5" s="1"/>
  <c r="G86" i="5"/>
  <c r="I85" i="5"/>
  <c r="G85" i="5"/>
  <c r="I84" i="5"/>
  <c r="G84" i="5"/>
  <c r="I83" i="5"/>
  <c r="G83" i="5"/>
  <c r="I82" i="5"/>
  <c r="G82" i="5"/>
  <c r="I81" i="5"/>
  <c r="G81" i="5"/>
  <c r="I80" i="5"/>
  <c r="G80" i="5"/>
  <c r="I79" i="5"/>
  <c r="G79" i="5"/>
  <c r="I78" i="5"/>
  <c r="G78" i="5"/>
  <c r="I77" i="5"/>
  <c r="G77" i="5"/>
  <c r="I76" i="5"/>
  <c r="G76" i="5"/>
  <c r="I75" i="5"/>
  <c r="G75" i="5"/>
  <c r="I74" i="5"/>
  <c r="G74" i="5"/>
  <c r="I73" i="5"/>
  <c r="G73" i="5"/>
  <c r="I72" i="5"/>
  <c r="G72" i="5"/>
  <c r="I71" i="5"/>
  <c r="G71" i="5"/>
  <c r="I70" i="5"/>
  <c r="G70" i="5"/>
  <c r="I69" i="5"/>
  <c r="G69" i="5"/>
  <c r="I68" i="5"/>
  <c r="G68" i="5"/>
  <c r="I67" i="5"/>
  <c r="G67" i="5"/>
  <c r="I66" i="5"/>
  <c r="G66" i="5"/>
  <c r="I65" i="5"/>
  <c r="G65" i="5"/>
  <c r="I64" i="5"/>
  <c r="G64" i="5"/>
  <c r="C50" i="5"/>
  <c r="C54" i="5" s="1"/>
  <c r="C58" i="5" s="1"/>
  <c r="I48" i="5"/>
  <c r="G48" i="5"/>
  <c r="I47" i="5"/>
  <c r="G47" i="5"/>
  <c r="I46" i="5"/>
  <c r="G46" i="5"/>
  <c r="I45" i="5"/>
  <c r="G45" i="5"/>
  <c r="I44" i="5"/>
  <c r="G44" i="5"/>
  <c r="I43" i="5"/>
  <c r="G43" i="5"/>
  <c r="I42" i="5"/>
  <c r="G42" i="5"/>
  <c r="I41" i="5"/>
  <c r="G41" i="5"/>
  <c r="I40" i="5"/>
  <c r="G40" i="5"/>
  <c r="I39" i="5"/>
  <c r="G39" i="5"/>
  <c r="I38" i="5"/>
  <c r="G38" i="5"/>
  <c r="I37" i="5"/>
  <c r="G37" i="5"/>
  <c r="I36" i="5"/>
  <c r="G36" i="5"/>
  <c r="I35" i="5"/>
  <c r="G35" i="5"/>
  <c r="I34" i="5"/>
  <c r="G34" i="5"/>
  <c r="I33" i="5"/>
  <c r="G33" i="5"/>
  <c r="I32" i="5"/>
  <c r="G32" i="5"/>
  <c r="I31" i="5"/>
  <c r="G31" i="5"/>
  <c r="I30" i="5"/>
  <c r="G30" i="5"/>
  <c r="I49" i="5"/>
  <c r="I50" i="5" s="1"/>
  <c r="C24" i="5"/>
  <c r="I23" i="5"/>
  <c r="I22" i="5"/>
  <c r="I21" i="5"/>
  <c r="I20" i="5"/>
  <c r="I19" i="5"/>
  <c r="I18" i="5"/>
  <c r="I17" i="5"/>
  <c r="I16" i="5"/>
  <c r="G23" i="5"/>
  <c r="G22" i="5"/>
  <c r="G21" i="5"/>
  <c r="G20" i="5"/>
  <c r="G19" i="5"/>
  <c r="G18" i="5"/>
  <c r="G17" i="5"/>
  <c r="G16" i="5"/>
  <c r="I15" i="5"/>
  <c r="G15" i="5"/>
  <c r="I54" i="5" l="1"/>
  <c r="G49" i="5"/>
  <c r="G50" i="5" s="1"/>
  <c r="I24" i="5"/>
  <c r="G24" i="5"/>
  <c r="I25" i="5" s="1"/>
  <c r="I26" i="5" s="1"/>
  <c r="I27" i="5" s="1"/>
  <c r="D19" i="4"/>
  <c r="C18" i="4"/>
  <c r="C17" i="4"/>
  <c r="D10" i="4"/>
  <c r="C9" i="4"/>
  <c r="C8" i="4"/>
  <c r="C7" i="4"/>
  <c r="C6" i="4"/>
  <c r="F14" i="2"/>
  <c r="F13" i="2"/>
  <c r="F12" i="2"/>
  <c r="F11" i="2"/>
  <c r="F10" i="2"/>
  <c r="F9" i="2"/>
  <c r="D17" i="2"/>
  <c r="F17" i="2" s="1"/>
  <c r="C16" i="2"/>
  <c r="F16" i="2" s="1"/>
  <c r="C15" i="2"/>
  <c r="F15" i="2" s="1"/>
  <c r="D8" i="2"/>
  <c r="F8" i="2" s="1"/>
  <c r="C7" i="2"/>
  <c r="F7" i="2" s="1"/>
  <c r="C6" i="2"/>
  <c r="F6" i="2" s="1"/>
  <c r="C5" i="2"/>
  <c r="F5" i="2" s="1"/>
  <c r="C4" i="2"/>
  <c r="F4" i="2" s="1"/>
  <c r="F18" i="2" s="1"/>
  <c r="F19" i="2" s="1"/>
  <c r="F20" i="2" s="1"/>
  <c r="D108" i="1"/>
  <c r="C108" i="1"/>
  <c r="D83" i="1"/>
  <c r="C83" i="1"/>
  <c r="D61" i="1"/>
  <c r="C61" i="1"/>
  <c r="D39" i="1"/>
  <c r="C39" i="1"/>
  <c r="C17" i="1"/>
  <c r="G54" i="5" l="1"/>
  <c r="G58" i="5" s="1"/>
  <c r="G92" i="5" s="1"/>
  <c r="I51" i="5"/>
  <c r="I52" i="5" s="1"/>
  <c r="I53" i="5" s="1"/>
  <c r="I58" i="5"/>
  <c r="C20" i="4"/>
  <c r="D20" i="4"/>
  <c r="I59" i="5" l="1"/>
  <c r="I60" i="5" s="1"/>
  <c r="I61" i="5" s="1"/>
  <c r="I92" i="5"/>
  <c r="I93" i="5" s="1"/>
  <c r="I55" i="5"/>
  <c r="I56" i="5" s="1"/>
  <c r="I57" i="5" s="1"/>
  <c r="I94" i="5" l="1"/>
  <c r="I95" i="5" s="1"/>
</calcChain>
</file>

<file path=xl/sharedStrings.xml><?xml version="1.0" encoding="utf-8"?>
<sst xmlns="http://schemas.openxmlformats.org/spreadsheetml/2006/main" count="716" uniqueCount="137">
  <si>
    <t>PIECES</t>
  </si>
  <si>
    <t>DEGAGEMENT</t>
  </si>
  <si>
    <t>DRESSING</t>
  </si>
  <si>
    <t>SURFACE</t>
  </si>
  <si>
    <t>ML</t>
  </si>
  <si>
    <t>HALL</t>
  </si>
  <si>
    <t>BUREAU DU CONCIERGE</t>
  </si>
  <si>
    <t>TOILETTE</t>
  </si>
  <si>
    <t>GUERITE</t>
  </si>
  <si>
    <t>COMMERCE</t>
  </si>
  <si>
    <t>TOILLETE</t>
  </si>
  <si>
    <t>BUANDERIE</t>
  </si>
  <si>
    <t>BALCON</t>
  </si>
  <si>
    <t>CHAMBRE 3</t>
  </si>
  <si>
    <t>CHAMBR2 2</t>
  </si>
  <si>
    <t>CHAMBRE 1</t>
  </si>
  <si>
    <t>DGT</t>
  </si>
  <si>
    <t>TOILETTE VISITEUR</t>
  </si>
  <si>
    <t>SEJOUR</t>
  </si>
  <si>
    <t>CUISINE</t>
  </si>
  <si>
    <t>CHAMBRE 2</t>
  </si>
  <si>
    <t>CHAMBRE 4</t>
  </si>
  <si>
    <t>SE 4</t>
  </si>
  <si>
    <t>SE 3</t>
  </si>
  <si>
    <t xml:space="preserve">SE 2 </t>
  </si>
  <si>
    <t>CHAMBRE PR</t>
  </si>
  <si>
    <t>TERRASSE</t>
  </si>
  <si>
    <t>SE PR</t>
  </si>
  <si>
    <t>TOILETTE PR</t>
  </si>
  <si>
    <t>DOUCHE PR</t>
  </si>
  <si>
    <t>HALL ETAGE</t>
  </si>
  <si>
    <t>DOUCHE</t>
  </si>
  <si>
    <t>RDC</t>
  </si>
  <si>
    <t>Sous-Total RDC</t>
  </si>
  <si>
    <t>NIVEAU 1</t>
  </si>
  <si>
    <t>Sous-Total Niveau 1</t>
  </si>
  <si>
    <t>NIVEAU 2</t>
  </si>
  <si>
    <t>Sous-Total Niveau 2</t>
  </si>
  <si>
    <t>NIVEAU 3</t>
  </si>
  <si>
    <t>Sous-Total Niveau 3</t>
  </si>
  <si>
    <t>NIVEAU 4</t>
  </si>
  <si>
    <t>Sous-Total Niveau 4</t>
  </si>
  <si>
    <t>Type Faux-plafond</t>
  </si>
  <si>
    <t>Standard</t>
  </si>
  <si>
    <t>Hydrofuge</t>
  </si>
  <si>
    <t>Entrée Extérieure Bâtiment</t>
  </si>
  <si>
    <t>Faux-plafond Standrad en plaques BA13 sur ossature gavanisée Fourrure F530</t>
  </si>
  <si>
    <t>Travaux</t>
  </si>
  <si>
    <t>Zone</t>
  </si>
  <si>
    <t>Surface (m²)</t>
  </si>
  <si>
    <t>Linéaire (ml)</t>
  </si>
  <si>
    <t>Faux-plafond Hydrofuge en plaques BA13 sur ossature gavanisée Fourrure F530</t>
  </si>
  <si>
    <t>Niveau 1</t>
  </si>
  <si>
    <t>Fourniture et pose de Gorge Lumineuse à éclairage indirect</t>
  </si>
  <si>
    <t>Niveau 2</t>
  </si>
  <si>
    <t>Niveau 3</t>
  </si>
  <si>
    <t>Penthouse</t>
  </si>
  <si>
    <t>PU HT</t>
  </si>
  <si>
    <t>Client: Mr ZEBE</t>
  </si>
  <si>
    <t>Projet / Immeuble R+4 - BASSAM</t>
  </si>
  <si>
    <t>Montant HT</t>
  </si>
  <si>
    <t>Total HT</t>
  </si>
  <si>
    <t>TVA</t>
  </si>
  <si>
    <t>Total TTC</t>
  </si>
  <si>
    <t>Total</t>
  </si>
  <si>
    <t xml:space="preserve">RECAPITULATIF DES SURFACES </t>
  </si>
  <si>
    <r>
      <rPr>
        <b/>
        <u/>
        <sz val="12"/>
        <color theme="1"/>
        <rFont val="Calibri"/>
        <family val="2"/>
        <scheme val="minor"/>
      </rPr>
      <t>Client:</t>
    </r>
    <r>
      <rPr>
        <b/>
        <sz val="12"/>
        <color theme="1"/>
        <rFont val="Calibri"/>
        <family val="2"/>
        <scheme val="minor"/>
      </rPr>
      <t xml:space="preserve"> Mr ZEBE</t>
    </r>
  </si>
  <si>
    <r>
      <rPr>
        <b/>
        <u/>
        <sz val="12"/>
        <color theme="1"/>
        <rFont val="Calibri"/>
        <family val="2"/>
        <scheme val="minor"/>
      </rPr>
      <t xml:space="preserve">Client: </t>
    </r>
    <r>
      <rPr>
        <sz val="12"/>
        <color theme="1"/>
        <rFont val="Calibri"/>
        <family val="2"/>
        <scheme val="minor"/>
      </rPr>
      <t>Mr ZEBE</t>
    </r>
  </si>
  <si>
    <r>
      <rPr>
        <b/>
        <u/>
        <sz val="12"/>
        <color theme="1"/>
        <rFont val="Calibri"/>
        <family val="2"/>
        <scheme val="minor"/>
      </rPr>
      <t xml:space="preserve">Projet: </t>
    </r>
    <r>
      <rPr>
        <sz val="12"/>
        <color theme="1"/>
        <rFont val="Calibri"/>
        <family val="2"/>
        <scheme val="minor"/>
      </rPr>
      <t>Immeuble d'habitation R+4 - BASSAM</t>
    </r>
  </si>
  <si>
    <t>Récapitulatif Détaillée des surfaces - IMM R+4</t>
  </si>
  <si>
    <t>P.U HT MATERIEL</t>
  </si>
  <si>
    <t>P.U HT MAIN D'ŒUVRE</t>
  </si>
  <si>
    <t>Montant HT MATERIEL</t>
  </si>
  <si>
    <t>Montant HT MAIN D'ŒUVRE</t>
  </si>
  <si>
    <t>Sous Total Surfaces RDC</t>
  </si>
  <si>
    <t>Sous-Total Matériels RDC</t>
  </si>
  <si>
    <t>Sous-Total Main D'Œuvre RDC</t>
  </si>
  <si>
    <t>Total HT MATERIEL et MAIN'ŒUVRE RDC</t>
  </si>
  <si>
    <t>TVA 18%</t>
  </si>
  <si>
    <t>Total TTC RDC</t>
  </si>
  <si>
    <t>NIVEAU Courant</t>
  </si>
  <si>
    <t>Gorge Lumineuse</t>
  </si>
  <si>
    <t>Séjour - Gorges</t>
  </si>
  <si>
    <t>Sous Total Etage 1</t>
  </si>
  <si>
    <t>Total HT MATERIEL et MAIN'ŒUVRE Etage 1</t>
  </si>
  <si>
    <t>Total TTC Etage 1</t>
  </si>
  <si>
    <t>Sous Total Etage 2</t>
  </si>
  <si>
    <t>Sous-Total Matériels Etage 1</t>
  </si>
  <si>
    <t>Sous-Total Main D'Œuvre Etage 1</t>
  </si>
  <si>
    <t>Sous-Total Matériels Etage 2</t>
  </si>
  <si>
    <t>Sous-Total Main D'Œuvre Etage 2</t>
  </si>
  <si>
    <t>Total HT MATERIEL et MAIN'ŒUVRE Etage 2</t>
  </si>
  <si>
    <t>Total TTC Etage 2</t>
  </si>
  <si>
    <t>Sous Total Etage 3</t>
  </si>
  <si>
    <t>Sous-Total Matériels Etage 3</t>
  </si>
  <si>
    <t>Sous-Total Main D'Œuvre Etage 3</t>
  </si>
  <si>
    <t>Total HT MATERIEL et MAIN'ŒUVRE Etage 3</t>
  </si>
  <si>
    <t>Total TTC Etage 3</t>
  </si>
  <si>
    <t>Gorges Chbre PR + HALL + Séjour</t>
  </si>
  <si>
    <t>Sous Total Etage 4</t>
  </si>
  <si>
    <t>Total HT MATERIEL et MAIN'ŒUVRE Etage 4</t>
  </si>
  <si>
    <t>Total TTC Etage 4</t>
  </si>
  <si>
    <t>Sous-Total Matériels Etage 4</t>
  </si>
  <si>
    <t>Total Général R+4</t>
  </si>
  <si>
    <t>Total Général Matériels R+4</t>
  </si>
  <si>
    <t>Total Général Main D'Œuvre R+4</t>
  </si>
  <si>
    <t>Sous-Total Main D'Œuvre Etage 4</t>
  </si>
  <si>
    <t>Total HT MATERIEL et MAIN'ŒUVRE R+4</t>
  </si>
  <si>
    <t>Total TTC R+4</t>
  </si>
  <si>
    <t>Le 24/03/2021</t>
  </si>
  <si>
    <r>
      <rPr>
        <b/>
        <u/>
        <sz val="12"/>
        <color theme="1"/>
        <rFont val="Calibri"/>
        <family val="2"/>
        <scheme val="minor"/>
      </rPr>
      <t xml:space="preserve">Objet: </t>
    </r>
    <r>
      <rPr>
        <sz val="12"/>
        <color theme="1"/>
        <rFont val="Calibri"/>
        <family val="2"/>
        <scheme val="minor"/>
      </rPr>
      <t>Offre de prix Faux-plafond - Immeuble Habitation R+4 - BASSAM</t>
    </r>
  </si>
  <si>
    <t>Unité</t>
  </si>
  <si>
    <t>m²</t>
  </si>
  <si>
    <t>ml</t>
  </si>
  <si>
    <r>
      <rPr>
        <b/>
        <i/>
        <u/>
        <sz val="12"/>
        <color theme="1"/>
        <rFont val="Calibri"/>
        <family val="2"/>
        <scheme val="minor"/>
      </rPr>
      <t>Arrêté le présent devis à la somme de:</t>
    </r>
    <r>
      <rPr>
        <sz val="12"/>
        <color theme="1"/>
        <rFont val="Calibri"/>
        <family val="2"/>
        <scheme val="minor"/>
      </rPr>
      <t xml:space="preserve"> Dix huit millions quatre mille neuf cent quatre vingt quinze francs CFA</t>
    </r>
  </si>
  <si>
    <t>Appt 1 - Etage 1</t>
  </si>
  <si>
    <t>Cornières</t>
  </si>
  <si>
    <t>Chevilles à frapper</t>
  </si>
  <si>
    <t>Chevilles laiton</t>
  </si>
  <si>
    <t>Tiges Filetées</t>
  </si>
  <si>
    <t>Cavaliers Pivots</t>
  </si>
  <si>
    <t>Fourrures</t>
  </si>
  <si>
    <t>Vis auto</t>
  </si>
  <si>
    <t>Eclisses</t>
  </si>
  <si>
    <t>Plaques Standard</t>
  </si>
  <si>
    <t>Plaques Hydro</t>
  </si>
  <si>
    <t>Vis 25</t>
  </si>
  <si>
    <t>Bande à joints</t>
  </si>
  <si>
    <t>Cornières perforées</t>
  </si>
  <si>
    <t>1/2 Cornière U</t>
  </si>
  <si>
    <t>Enduit de Joints</t>
  </si>
  <si>
    <t>Matériel</t>
  </si>
  <si>
    <t>Quantités</t>
  </si>
  <si>
    <t xml:space="preserve">Total Std </t>
  </si>
  <si>
    <t>Total Hydro</t>
  </si>
  <si>
    <t>Total Gorges</t>
  </si>
  <si>
    <t>Projet GRADIAN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</si>
</sst>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164" fontId="0" fillId="0" borderId="1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43" fontId="5" fillId="0" borderId="1" xfId="1" applyNumberFormat="1" applyFont="1" applyBorder="1" applyAlignment="1">
      <alignment horizontal="center" vertical="center"/>
    </xf>
    <xf numFmtId="164" fontId="5" fillId="3" borderId="1" xfId="1" applyNumberFormat="1" applyFont="1" applyFill="1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257175</xdr:colOff>
      <xdr:row>7</xdr:row>
      <xdr:rowOff>57150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432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257175</xdr:colOff>
      <xdr:row>7</xdr:row>
      <xdr:rowOff>57150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432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workbookViewId="0">
      <selection sqref="A1:XFD1048576"/>
    </sheetView>
  </sheetViews>
  <sheetFormatPr baseColWidth="10" defaultRowHeight="15.75" x14ac:dyDescent="0.25"/>
  <cols>
    <col min="1" max="1" width="11" style="10"/>
    <col min="2" max="2" width="20.375" style="2" customWidth="1"/>
    <col min="3" max="3" width="11" style="10"/>
    <col min="4" max="4" width="13.75" style="10" customWidth="1"/>
    <col min="5" max="16384" width="11" style="10"/>
  </cols>
  <sheetData>
    <row r="1" spans="1:7" x14ac:dyDescent="0.25">
      <c r="A1" s="46" t="s">
        <v>69</v>
      </c>
      <c r="B1" s="46"/>
      <c r="C1" s="46"/>
      <c r="D1" s="46"/>
      <c r="E1" s="46"/>
      <c r="F1" s="46"/>
      <c r="G1" s="46"/>
    </row>
    <row r="2" spans="1:7" x14ac:dyDescent="0.25">
      <c r="A2" s="46"/>
      <c r="B2" s="46"/>
      <c r="C2" s="46"/>
      <c r="D2" s="46"/>
      <c r="E2" s="46"/>
      <c r="F2" s="46"/>
      <c r="G2" s="46"/>
    </row>
    <row r="4" spans="1:7" x14ac:dyDescent="0.25">
      <c r="A4" s="27" t="s">
        <v>67</v>
      </c>
      <c r="E4" s="10" t="s">
        <v>68</v>
      </c>
    </row>
    <row r="6" spans="1:7" x14ac:dyDescent="0.25">
      <c r="B6" s="48" t="s">
        <v>32</v>
      </c>
      <c r="C6" s="48"/>
      <c r="D6" s="48"/>
      <c r="E6" s="48"/>
    </row>
    <row r="7" spans="1:7" ht="31.5" x14ac:dyDescent="0.25">
      <c r="B7" s="3" t="s">
        <v>0</v>
      </c>
      <c r="C7" s="4" t="s">
        <v>3</v>
      </c>
      <c r="D7" s="5" t="s">
        <v>4</v>
      </c>
      <c r="E7" s="6" t="s">
        <v>42</v>
      </c>
    </row>
    <row r="8" spans="1:7" ht="31.5" x14ac:dyDescent="0.25">
      <c r="B8" s="7" t="s">
        <v>45</v>
      </c>
      <c r="C8" s="8">
        <v>30.22</v>
      </c>
      <c r="D8" s="8"/>
      <c r="E8" s="9" t="s">
        <v>44</v>
      </c>
    </row>
    <row r="9" spans="1:7" x14ac:dyDescent="0.25">
      <c r="B9" s="7" t="s">
        <v>7</v>
      </c>
      <c r="C9" s="8">
        <v>1.99</v>
      </c>
      <c r="D9" s="8"/>
      <c r="E9" s="9" t="s">
        <v>44</v>
      </c>
    </row>
    <row r="10" spans="1:7" x14ac:dyDescent="0.25">
      <c r="B10" s="7" t="s">
        <v>7</v>
      </c>
      <c r="C10" s="8">
        <v>1.97</v>
      </c>
      <c r="D10" s="8"/>
      <c r="E10" s="9" t="s">
        <v>44</v>
      </c>
    </row>
    <row r="11" spans="1:7" x14ac:dyDescent="0.25">
      <c r="B11" s="7" t="s">
        <v>10</v>
      </c>
      <c r="C11" s="8">
        <v>5.3</v>
      </c>
      <c r="D11" s="8"/>
      <c r="E11" s="9" t="s">
        <v>44</v>
      </c>
    </row>
    <row r="12" spans="1:7" ht="31.5" x14ac:dyDescent="0.25">
      <c r="B12" s="7" t="s">
        <v>6</v>
      </c>
      <c r="C12" s="8">
        <v>11.02</v>
      </c>
      <c r="D12" s="8"/>
      <c r="E12" s="9" t="s">
        <v>43</v>
      </c>
    </row>
    <row r="13" spans="1:7" x14ac:dyDescent="0.25">
      <c r="B13" s="7" t="s">
        <v>9</v>
      </c>
      <c r="C13" s="8">
        <v>25.82</v>
      </c>
      <c r="D13" s="8"/>
      <c r="E13" s="9" t="s">
        <v>43</v>
      </c>
    </row>
    <row r="14" spans="1:7" x14ac:dyDescent="0.25">
      <c r="B14" s="7" t="s">
        <v>1</v>
      </c>
      <c r="C14" s="8">
        <v>26.25</v>
      </c>
      <c r="D14" s="8"/>
      <c r="E14" s="9" t="s">
        <v>43</v>
      </c>
    </row>
    <row r="15" spans="1:7" x14ac:dyDescent="0.25">
      <c r="B15" s="7" t="s">
        <v>8</v>
      </c>
      <c r="C15" s="8">
        <v>2.74</v>
      </c>
      <c r="D15" s="8"/>
      <c r="E15" s="9" t="s">
        <v>43</v>
      </c>
    </row>
    <row r="16" spans="1:7" x14ac:dyDescent="0.25">
      <c r="B16" s="7" t="s">
        <v>5</v>
      </c>
      <c r="C16" s="8">
        <v>16.78</v>
      </c>
      <c r="D16" s="8"/>
      <c r="E16" s="9" t="s">
        <v>43</v>
      </c>
    </row>
    <row r="17" spans="2:5" x14ac:dyDescent="0.25">
      <c r="B17" s="11" t="s">
        <v>33</v>
      </c>
      <c r="C17" s="12">
        <f>SUM(C8:C16)</f>
        <v>122.08999999999999</v>
      </c>
      <c r="D17" s="49">
        <v>133.59</v>
      </c>
      <c r="E17" s="50"/>
    </row>
    <row r="18" spans="2:5" x14ac:dyDescent="0.25">
      <c r="B18" s="51" t="s">
        <v>34</v>
      </c>
      <c r="C18" s="51"/>
      <c r="D18" s="51"/>
      <c r="E18" s="51"/>
    </row>
    <row r="19" spans="2:5" ht="31.5" x14ac:dyDescent="0.25">
      <c r="B19" s="3" t="s">
        <v>0</v>
      </c>
      <c r="C19" s="4" t="s">
        <v>3</v>
      </c>
      <c r="D19" s="5" t="s">
        <v>4</v>
      </c>
      <c r="E19" s="6" t="s">
        <v>42</v>
      </c>
    </row>
    <row r="20" spans="2:5" x14ac:dyDescent="0.25">
      <c r="B20" s="13" t="s">
        <v>11</v>
      </c>
      <c r="C20" s="8">
        <v>3.47</v>
      </c>
      <c r="D20" s="8"/>
      <c r="E20" s="9" t="s">
        <v>44</v>
      </c>
    </row>
    <row r="21" spans="2:5" x14ac:dyDescent="0.25">
      <c r="B21" s="13" t="s">
        <v>12</v>
      </c>
      <c r="C21" s="8">
        <v>12.28</v>
      </c>
      <c r="D21" s="8"/>
      <c r="E21" s="9" t="s">
        <v>44</v>
      </c>
    </row>
    <row r="22" spans="2:5" x14ac:dyDescent="0.25">
      <c r="B22" s="13" t="s">
        <v>17</v>
      </c>
      <c r="C22" s="8">
        <v>1.82</v>
      </c>
      <c r="D22" s="8"/>
      <c r="E22" s="9" t="s">
        <v>44</v>
      </c>
    </row>
    <row r="23" spans="2:5" x14ac:dyDescent="0.25">
      <c r="B23" s="13" t="s">
        <v>11</v>
      </c>
      <c r="C23" s="8">
        <v>4.05</v>
      </c>
      <c r="D23" s="8"/>
      <c r="E23" s="9" t="s">
        <v>44</v>
      </c>
    </row>
    <row r="24" spans="2:5" x14ac:dyDescent="0.25">
      <c r="B24" s="13" t="s">
        <v>12</v>
      </c>
      <c r="C24" s="8">
        <v>12.28</v>
      </c>
      <c r="D24" s="8"/>
      <c r="E24" s="9" t="s">
        <v>44</v>
      </c>
    </row>
    <row r="25" spans="2:5" x14ac:dyDescent="0.25">
      <c r="B25" s="13" t="s">
        <v>17</v>
      </c>
      <c r="C25" s="8">
        <v>1.82</v>
      </c>
      <c r="D25" s="8"/>
      <c r="E25" s="9" t="s">
        <v>44</v>
      </c>
    </row>
    <row r="26" spans="2:5" x14ac:dyDescent="0.25">
      <c r="B26" s="13" t="s">
        <v>13</v>
      </c>
      <c r="C26" s="8">
        <v>14.43</v>
      </c>
      <c r="D26" s="8"/>
      <c r="E26" s="9" t="s">
        <v>43</v>
      </c>
    </row>
    <row r="27" spans="2:5" x14ac:dyDescent="0.25">
      <c r="B27" s="13" t="s">
        <v>14</v>
      </c>
      <c r="C27" s="8">
        <v>14.43</v>
      </c>
      <c r="D27" s="8"/>
      <c r="E27" s="9" t="s">
        <v>43</v>
      </c>
    </row>
    <row r="28" spans="2:5" x14ac:dyDescent="0.25">
      <c r="B28" s="13" t="s">
        <v>15</v>
      </c>
      <c r="C28" s="8">
        <v>17.920000000000002</v>
      </c>
      <c r="D28" s="8"/>
      <c r="E28" s="9" t="s">
        <v>43</v>
      </c>
    </row>
    <row r="29" spans="2:5" x14ac:dyDescent="0.25">
      <c r="B29" s="13" t="s">
        <v>16</v>
      </c>
      <c r="C29" s="8">
        <v>4.37</v>
      </c>
      <c r="D29" s="8"/>
      <c r="E29" s="9" t="s">
        <v>43</v>
      </c>
    </row>
    <row r="30" spans="2:5" x14ac:dyDescent="0.25">
      <c r="B30" s="13" t="s">
        <v>18</v>
      </c>
      <c r="C30" s="8">
        <v>35.909999999999997</v>
      </c>
      <c r="D30" s="8">
        <v>16.5</v>
      </c>
      <c r="E30" s="9" t="s">
        <v>43</v>
      </c>
    </row>
    <row r="31" spans="2:5" x14ac:dyDescent="0.25">
      <c r="B31" s="13" t="s">
        <v>19</v>
      </c>
      <c r="C31" s="8">
        <v>10.039999999999999</v>
      </c>
      <c r="D31" s="8"/>
      <c r="E31" s="9" t="s">
        <v>43</v>
      </c>
    </row>
    <row r="32" spans="2:5" x14ac:dyDescent="0.25">
      <c r="B32" s="13" t="s">
        <v>5</v>
      </c>
      <c r="C32" s="8">
        <v>28.09</v>
      </c>
      <c r="D32" s="8"/>
      <c r="E32" s="9" t="s">
        <v>43</v>
      </c>
    </row>
    <row r="33" spans="2:5" x14ac:dyDescent="0.25">
      <c r="B33" s="13" t="s">
        <v>18</v>
      </c>
      <c r="C33" s="8">
        <v>37.36</v>
      </c>
      <c r="D33" s="8">
        <v>16.5</v>
      </c>
      <c r="E33" s="9" t="s">
        <v>43</v>
      </c>
    </row>
    <row r="34" spans="2:5" x14ac:dyDescent="0.25">
      <c r="B34" s="13" t="s">
        <v>19</v>
      </c>
      <c r="C34" s="8">
        <v>9.91</v>
      </c>
      <c r="D34" s="8"/>
      <c r="E34" s="9" t="s">
        <v>43</v>
      </c>
    </row>
    <row r="35" spans="2:5" x14ac:dyDescent="0.25">
      <c r="B35" s="13" t="s">
        <v>13</v>
      </c>
      <c r="C35" s="8">
        <v>14.43</v>
      </c>
      <c r="D35" s="8"/>
      <c r="E35" s="9" t="s">
        <v>43</v>
      </c>
    </row>
    <row r="36" spans="2:5" x14ac:dyDescent="0.25">
      <c r="B36" s="13" t="s">
        <v>20</v>
      </c>
      <c r="C36" s="8">
        <v>14.43</v>
      </c>
      <c r="D36" s="8"/>
      <c r="E36" s="9" t="s">
        <v>43</v>
      </c>
    </row>
    <row r="37" spans="2:5" x14ac:dyDescent="0.25">
      <c r="B37" s="13" t="s">
        <v>15</v>
      </c>
      <c r="C37" s="8">
        <v>17.920000000000002</v>
      </c>
      <c r="D37" s="8"/>
      <c r="E37" s="9" t="s">
        <v>43</v>
      </c>
    </row>
    <row r="38" spans="2:5" x14ac:dyDescent="0.25">
      <c r="B38" s="13" t="s">
        <v>16</v>
      </c>
      <c r="C38" s="8">
        <v>4.37</v>
      </c>
      <c r="D38" s="8"/>
      <c r="E38" s="9" t="s">
        <v>43</v>
      </c>
    </row>
    <row r="39" spans="2:5" x14ac:dyDescent="0.25">
      <c r="B39" s="11" t="s">
        <v>35</v>
      </c>
      <c r="C39" s="12">
        <f>SUM(C20:C38)</f>
        <v>259.33</v>
      </c>
      <c r="D39" s="12">
        <f>SUM(D20:D38)</f>
        <v>33</v>
      </c>
    </row>
    <row r="40" spans="2:5" x14ac:dyDescent="0.25">
      <c r="B40" s="47" t="s">
        <v>36</v>
      </c>
      <c r="C40" s="47"/>
      <c r="D40" s="47"/>
    </row>
    <row r="41" spans="2:5" ht="31.5" x14ac:dyDescent="0.25">
      <c r="B41" s="3" t="s">
        <v>0</v>
      </c>
      <c r="C41" s="4" t="s">
        <v>3</v>
      </c>
      <c r="D41" s="5" t="s">
        <v>4</v>
      </c>
      <c r="E41" s="6" t="s">
        <v>42</v>
      </c>
    </row>
    <row r="42" spans="2:5" x14ac:dyDescent="0.25">
      <c r="B42" s="13" t="s">
        <v>11</v>
      </c>
      <c r="C42" s="8">
        <v>3.47</v>
      </c>
      <c r="D42" s="8"/>
      <c r="E42" s="9" t="s">
        <v>44</v>
      </c>
    </row>
    <row r="43" spans="2:5" x14ac:dyDescent="0.25">
      <c r="B43" s="13" t="s">
        <v>12</v>
      </c>
      <c r="C43" s="8">
        <v>12.28</v>
      </c>
      <c r="D43" s="8"/>
      <c r="E43" s="9" t="s">
        <v>44</v>
      </c>
    </row>
    <row r="44" spans="2:5" x14ac:dyDescent="0.25">
      <c r="B44" s="13" t="s">
        <v>17</v>
      </c>
      <c r="C44" s="8">
        <v>1.82</v>
      </c>
      <c r="D44" s="8"/>
      <c r="E44" s="9" t="s">
        <v>44</v>
      </c>
    </row>
    <row r="45" spans="2:5" x14ac:dyDescent="0.25">
      <c r="B45" s="13" t="s">
        <v>11</v>
      </c>
      <c r="C45" s="8">
        <v>4.05</v>
      </c>
      <c r="D45" s="8"/>
      <c r="E45" s="9" t="s">
        <v>44</v>
      </c>
    </row>
    <row r="46" spans="2:5" x14ac:dyDescent="0.25">
      <c r="B46" s="13" t="s">
        <v>12</v>
      </c>
      <c r="C46" s="8">
        <v>12.28</v>
      </c>
      <c r="D46" s="8"/>
      <c r="E46" s="9" t="s">
        <v>44</v>
      </c>
    </row>
    <row r="47" spans="2:5" x14ac:dyDescent="0.25">
      <c r="B47" s="13" t="s">
        <v>17</v>
      </c>
      <c r="C47" s="8">
        <v>1.82</v>
      </c>
      <c r="D47" s="8"/>
      <c r="E47" s="9" t="s">
        <v>44</v>
      </c>
    </row>
    <row r="48" spans="2:5" x14ac:dyDescent="0.25">
      <c r="B48" s="13" t="s">
        <v>13</v>
      </c>
      <c r="C48" s="8">
        <v>14.43</v>
      </c>
      <c r="D48" s="8"/>
      <c r="E48" s="9" t="s">
        <v>43</v>
      </c>
    </row>
    <row r="49" spans="2:5" x14ac:dyDescent="0.25">
      <c r="B49" s="13" t="s">
        <v>14</v>
      </c>
      <c r="C49" s="8">
        <v>14.43</v>
      </c>
      <c r="D49" s="8"/>
      <c r="E49" s="9" t="s">
        <v>43</v>
      </c>
    </row>
    <row r="50" spans="2:5" x14ac:dyDescent="0.25">
      <c r="B50" s="13" t="s">
        <v>15</v>
      </c>
      <c r="C50" s="8">
        <v>17.920000000000002</v>
      </c>
      <c r="D50" s="8"/>
      <c r="E50" s="9" t="s">
        <v>43</v>
      </c>
    </row>
    <row r="51" spans="2:5" x14ac:dyDescent="0.25">
      <c r="B51" s="13" t="s">
        <v>16</v>
      </c>
      <c r="C51" s="8">
        <v>4.37</v>
      </c>
      <c r="D51" s="8"/>
      <c r="E51" s="9" t="s">
        <v>43</v>
      </c>
    </row>
    <row r="52" spans="2:5" x14ac:dyDescent="0.25">
      <c r="B52" s="13" t="s">
        <v>18</v>
      </c>
      <c r="C52" s="8">
        <v>35.909999999999997</v>
      </c>
      <c r="D52" s="8">
        <v>16.5</v>
      </c>
      <c r="E52" s="9" t="s">
        <v>43</v>
      </c>
    </row>
    <row r="53" spans="2:5" x14ac:dyDescent="0.25">
      <c r="B53" s="13" t="s">
        <v>19</v>
      </c>
      <c r="C53" s="8">
        <v>10.039999999999999</v>
      </c>
      <c r="D53" s="8"/>
      <c r="E53" s="9" t="s">
        <v>43</v>
      </c>
    </row>
    <row r="54" spans="2:5" x14ac:dyDescent="0.25">
      <c r="B54" s="13" t="s">
        <v>5</v>
      </c>
      <c r="C54" s="8">
        <v>28.09</v>
      </c>
      <c r="D54" s="8"/>
      <c r="E54" s="9" t="s">
        <v>43</v>
      </c>
    </row>
    <row r="55" spans="2:5" x14ac:dyDescent="0.25">
      <c r="B55" s="13" t="s">
        <v>18</v>
      </c>
      <c r="C55" s="8">
        <v>37.36</v>
      </c>
      <c r="D55" s="8">
        <v>16.5</v>
      </c>
      <c r="E55" s="9" t="s">
        <v>43</v>
      </c>
    </row>
    <row r="56" spans="2:5" x14ac:dyDescent="0.25">
      <c r="B56" s="13" t="s">
        <v>19</v>
      </c>
      <c r="C56" s="8">
        <v>9.91</v>
      </c>
      <c r="D56" s="8"/>
      <c r="E56" s="9" t="s">
        <v>43</v>
      </c>
    </row>
    <row r="57" spans="2:5" x14ac:dyDescent="0.25">
      <c r="B57" s="13" t="s">
        <v>13</v>
      </c>
      <c r="C57" s="8">
        <v>14.43</v>
      </c>
      <c r="D57" s="8"/>
      <c r="E57" s="9" t="s">
        <v>43</v>
      </c>
    </row>
    <row r="58" spans="2:5" x14ac:dyDescent="0.25">
      <c r="B58" s="13" t="s">
        <v>20</v>
      </c>
      <c r="C58" s="8">
        <v>14.43</v>
      </c>
      <c r="D58" s="8"/>
      <c r="E58" s="9" t="s">
        <v>43</v>
      </c>
    </row>
    <row r="59" spans="2:5" x14ac:dyDescent="0.25">
      <c r="B59" s="13" t="s">
        <v>15</v>
      </c>
      <c r="C59" s="8">
        <v>17.920000000000002</v>
      </c>
      <c r="D59" s="8"/>
      <c r="E59" s="9" t="s">
        <v>43</v>
      </c>
    </row>
    <row r="60" spans="2:5" x14ac:dyDescent="0.25">
      <c r="B60" s="13" t="s">
        <v>16</v>
      </c>
      <c r="C60" s="8">
        <v>4.37</v>
      </c>
      <c r="D60" s="8"/>
      <c r="E60" s="9" t="s">
        <v>43</v>
      </c>
    </row>
    <row r="61" spans="2:5" x14ac:dyDescent="0.25">
      <c r="B61" s="11" t="s">
        <v>37</v>
      </c>
      <c r="C61" s="12">
        <f>SUM(C42:C60)</f>
        <v>259.33</v>
      </c>
      <c r="D61" s="12">
        <f>SUM(D42:D60)</f>
        <v>33</v>
      </c>
    </row>
    <row r="62" spans="2:5" x14ac:dyDescent="0.25">
      <c r="B62" s="47" t="s">
        <v>38</v>
      </c>
      <c r="C62" s="47"/>
      <c r="D62" s="47"/>
    </row>
    <row r="63" spans="2:5" ht="31.5" x14ac:dyDescent="0.25">
      <c r="B63" s="3" t="s">
        <v>0</v>
      </c>
      <c r="C63" s="4" t="s">
        <v>3</v>
      </c>
      <c r="D63" s="5" t="s">
        <v>4</v>
      </c>
      <c r="E63" s="6" t="s">
        <v>42</v>
      </c>
    </row>
    <row r="64" spans="2:5" x14ac:dyDescent="0.25">
      <c r="B64" s="13" t="s">
        <v>11</v>
      </c>
      <c r="C64" s="8">
        <v>3.47</v>
      </c>
      <c r="D64" s="8"/>
      <c r="E64" s="9" t="s">
        <v>44</v>
      </c>
    </row>
    <row r="65" spans="2:5" x14ac:dyDescent="0.25">
      <c r="B65" s="13" t="s">
        <v>12</v>
      </c>
      <c r="C65" s="8">
        <v>12.28</v>
      </c>
      <c r="D65" s="8"/>
      <c r="E65" s="9" t="s">
        <v>44</v>
      </c>
    </row>
    <row r="66" spans="2:5" x14ac:dyDescent="0.25">
      <c r="B66" s="13" t="s">
        <v>17</v>
      </c>
      <c r="C66" s="8">
        <v>1.82</v>
      </c>
      <c r="D66" s="8"/>
      <c r="E66" s="9" t="s">
        <v>44</v>
      </c>
    </row>
    <row r="67" spans="2:5" x14ac:dyDescent="0.25">
      <c r="B67" s="13" t="s">
        <v>11</v>
      </c>
      <c r="C67" s="8">
        <v>4.05</v>
      </c>
      <c r="D67" s="8"/>
      <c r="E67" s="9" t="s">
        <v>44</v>
      </c>
    </row>
    <row r="68" spans="2:5" x14ac:dyDescent="0.25">
      <c r="B68" s="13" t="s">
        <v>12</v>
      </c>
      <c r="C68" s="8">
        <v>12.28</v>
      </c>
      <c r="D68" s="8"/>
      <c r="E68" s="9" t="s">
        <v>44</v>
      </c>
    </row>
    <row r="69" spans="2:5" x14ac:dyDescent="0.25">
      <c r="B69" s="13" t="s">
        <v>17</v>
      </c>
      <c r="C69" s="8">
        <v>1.82</v>
      </c>
      <c r="D69" s="8"/>
      <c r="E69" s="9" t="s">
        <v>44</v>
      </c>
    </row>
    <row r="70" spans="2:5" x14ac:dyDescent="0.25">
      <c r="B70" s="13" t="s">
        <v>13</v>
      </c>
      <c r="C70" s="8">
        <v>14.43</v>
      </c>
      <c r="D70" s="8"/>
      <c r="E70" s="9" t="s">
        <v>43</v>
      </c>
    </row>
    <row r="71" spans="2:5" x14ac:dyDescent="0.25">
      <c r="B71" s="13" t="s">
        <v>14</v>
      </c>
      <c r="C71" s="8">
        <v>14.43</v>
      </c>
      <c r="D71" s="8"/>
      <c r="E71" s="9" t="s">
        <v>43</v>
      </c>
    </row>
    <row r="72" spans="2:5" x14ac:dyDescent="0.25">
      <c r="B72" s="13" t="s">
        <v>15</v>
      </c>
      <c r="C72" s="8">
        <v>17.920000000000002</v>
      </c>
      <c r="D72" s="8"/>
      <c r="E72" s="9" t="s">
        <v>43</v>
      </c>
    </row>
    <row r="73" spans="2:5" x14ac:dyDescent="0.25">
      <c r="B73" s="13" t="s">
        <v>16</v>
      </c>
      <c r="C73" s="8">
        <v>4.37</v>
      </c>
      <c r="D73" s="8"/>
      <c r="E73" s="9" t="s">
        <v>43</v>
      </c>
    </row>
    <row r="74" spans="2:5" x14ac:dyDescent="0.25">
      <c r="B74" s="13" t="s">
        <v>18</v>
      </c>
      <c r="C74" s="8">
        <v>35.909999999999997</v>
      </c>
      <c r="D74" s="8">
        <v>16.5</v>
      </c>
      <c r="E74" s="9" t="s">
        <v>43</v>
      </c>
    </row>
    <row r="75" spans="2:5" x14ac:dyDescent="0.25">
      <c r="B75" s="13" t="s">
        <v>19</v>
      </c>
      <c r="C75" s="8">
        <v>10.039999999999999</v>
      </c>
      <c r="D75" s="8"/>
      <c r="E75" s="9" t="s">
        <v>43</v>
      </c>
    </row>
    <row r="76" spans="2:5" x14ac:dyDescent="0.25">
      <c r="B76" s="13" t="s">
        <v>5</v>
      </c>
      <c r="C76" s="8">
        <v>28.09</v>
      </c>
      <c r="D76" s="8"/>
      <c r="E76" s="9" t="s">
        <v>43</v>
      </c>
    </row>
    <row r="77" spans="2:5" x14ac:dyDescent="0.25">
      <c r="B77" s="13" t="s">
        <v>18</v>
      </c>
      <c r="C77" s="8">
        <v>37.36</v>
      </c>
      <c r="D77" s="8">
        <v>16.5</v>
      </c>
      <c r="E77" s="9" t="s">
        <v>43</v>
      </c>
    </row>
    <row r="78" spans="2:5" x14ac:dyDescent="0.25">
      <c r="B78" s="13" t="s">
        <v>19</v>
      </c>
      <c r="C78" s="8">
        <v>9.91</v>
      </c>
      <c r="D78" s="8"/>
      <c r="E78" s="9" t="s">
        <v>43</v>
      </c>
    </row>
    <row r="79" spans="2:5" x14ac:dyDescent="0.25">
      <c r="B79" s="13" t="s">
        <v>13</v>
      </c>
      <c r="C79" s="8">
        <v>14.43</v>
      </c>
      <c r="D79" s="8"/>
      <c r="E79" s="9" t="s">
        <v>43</v>
      </c>
    </row>
    <row r="80" spans="2:5" x14ac:dyDescent="0.25">
      <c r="B80" s="13" t="s">
        <v>20</v>
      </c>
      <c r="C80" s="8">
        <v>14.43</v>
      </c>
      <c r="D80" s="8"/>
      <c r="E80" s="9" t="s">
        <v>43</v>
      </c>
    </row>
    <row r="81" spans="2:5" x14ac:dyDescent="0.25">
      <c r="B81" s="13" t="s">
        <v>15</v>
      </c>
      <c r="C81" s="8">
        <v>17.920000000000002</v>
      </c>
      <c r="D81" s="8"/>
      <c r="E81" s="9" t="s">
        <v>43</v>
      </c>
    </row>
    <row r="82" spans="2:5" x14ac:dyDescent="0.25">
      <c r="B82" s="13" t="s">
        <v>16</v>
      </c>
      <c r="C82" s="8">
        <v>4.37</v>
      </c>
      <c r="D82" s="8"/>
      <c r="E82" s="9" t="s">
        <v>43</v>
      </c>
    </row>
    <row r="83" spans="2:5" x14ac:dyDescent="0.25">
      <c r="B83" s="11" t="s">
        <v>39</v>
      </c>
      <c r="C83" s="12">
        <f>SUM(C64:C82)</f>
        <v>259.33</v>
      </c>
      <c r="D83" s="12">
        <f>SUM(D64:D82)</f>
        <v>33</v>
      </c>
    </row>
    <row r="84" spans="2:5" x14ac:dyDescent="0.25">
      <c r="B84" s="47" t="s">
        <v>40</v>
      </c>
      <c r="C84" s="47"/>
      <c r="D84" s="47"/>
    </row>
    <row r="85" spans="2:5" ht="31.5" x14ac:dyDescent="0.25">
      <c r="B85" s="3" t="s">
        <v>0</v>
      </c>
      <c r="C85" s="4" t="s">
        <v>3</v>
      </c>
      <c r="D85" s="5" t="s">
        <v>4</v>
      </c>
      <c r="E85" s="6" t="s">
        <v>42</v>
      </c>
    </row>
    <row r="86" spans="2:5" x14ac:dyDescent="0.25">
      <c r="B86" s="13" t="s">
        <v>22</v>
      </c>
      <c r="C86" s="8">
        <v>3.67</v>
      </c>
      <c r="D86" s="8"/>
      <c r="E86" s="9" t="s">
        <v>44</v>
      </c>
    </row>
    <row r="87" spans="2:5" x14ac:dyDescent="0.25">
      <c r="B87" s="13" t="s">
        <v>23</v>
      </c>
      <c r="C87" s="8">
        <v>3.54</v>
      </c>
      <c r="D87" s="8"/>
      <c r="E87" s="9" t="s">
        <v>44</v>
      </c>
    </row>
    <row r="88" spans="2:5" x14ac:dyDescent="0.25">
      <c r="B88" s="13" t="s">
        <v>24</v>
      </c>
      <c r="C88" s="8">
        <v>3.54</v>
      </c>
      <c r="D88" s="8"/>
      <c r="E88" s="9" t="s">
        <v>44</v>
      </c>
    </row>
    <row r="89" spans="2:5" x14ac:dyDescent="0.25">
      <c r="B89" s="13" t="s">
        <v>26</v>
      </c>
      <c r="C89" s="8">
        <v>10.119999999999999</v>
      </c>
      <c r="D89" s="8"/>
      <c r="E89" s="9" t="s">
        <v>44</v>
      </c>
    </row>
    <row r="90" spans="2:5" x14ac:dyDescent="0.25">
      <c r="B90" s="13" t="s">
        <v>27</v>
      </c>
      <c r="C90" s="8">
        <v>7.82</v>
      </c>
      <c r="D90" s="8"/>
      <c r="E90" s="9" t="s">
        <v>44</v>
      </c>
    </row>
    <row r="91" spans="2:5" x14ac:dyDescent="0.25">
      <c r="B91" s="13" t="s">
        <v>28</v>
      </c>
      <c r="C91" s="8">
        <v>1.57</v>
      </c>
      <c r="D91" s="8"/>
      <c r="E91" s="9" t="s">
        <v>44</v>
      </c>
    </row>
    <row r="92" spans="2:5" x14ac:dyDescent="0.25">
      <c r="B92" s="13" t="s">
        <v>29</v>
      </c>
      <c r="C92" s="8">
        <v>1.75</v>
      </c>
      <c r="D92" s="8"/>
      <c r="E92" s="9" t="s">
        <v>44</v>
      </c>
    </row>
    <row r="93" spans="2:5" x14ac:dyDescent="0.25">
      <c r="B93" s="13" t="s">
        <v>17</v>
      </c>
      <c r="C93" s="8">
        <v>1.67</v>
      </c>
      <c r="D93" s="8"/>
      <c r="E93" s="9" t="s">
        <v>44</v>
      </c>
    </row>
    <row r="94" spans="2:5" x14ac:dyDescent="0.25">
      <c r="B94" s="13" t="s">
        <v>31</v>
      </c>
      <c r="C94" s="8">
        <v>1.77</v>
      </c>
      <c r="D94" s="8"/>
      <c r="E94" s="9" t="s">
        <v>44</v>
      </c>
    </row>
    <row r="95" spans="2:5" x14ac:dyDescent="0.25">
      <c r="B95" s="13" t="s">
        <v>7</v>
      </c>
      <c r="C95" s="8">
        <v>2.12</v>
      </c>
      <c r="D95" s="8"/>
      <c r="E95" s="9" t="s">
        <v>44</v>
      </c>
    </row>
    <row r="96" spans="2:5" x14ac:dyDescent="0.25">
      <c r="B96" s="13" t="s">
        <v>11</v>
      </c>
      <c r="C96" s="8">
        <v>16.170000000000002</v>
      </c>
      <c r="D96" s="8"/>
      <c r="E96" s="9" t="s">
        <v>44</v>
      </c>
    </row>
    <row r="97" spans="2:5" x14ac:dyDescent="0.25">
      <c r="B97" s="13" t="s">
        <v>26</v>
      </c>
      <c r="C97" s="8">
        <v>29.79</v>
      </c>
      <c r="D97" s="8"/>
      <c r="E97" s="9" t="s">
        <v>44</v>
      </c>
    </row>
    <row r="98" spans="2:5" x14ac:dyDescent="0.25">
      <c r="B98" s="13" t="s">
        <v>21</v>
      </c>
      <c r="C98" s="8">
        <v>16.329999999999998</v>
      </c>
      <c r="D98" s="8"/>
      <c r="E98" s="9" t="s">
        <v>43</v>
      </c>
    </row>
    <row r="99" spans="2:5" x14ac:dyDescent="0.25">
      <c r="B99" s="13" t="s">
        <v>13</v>
      </c>
      <c r="C99" s="8">
        <v>13.58</v>
      </c>
      <c r="D99" s="8"/>
      <c r="E99" s="9" t="s">
        <v>43</v>
      </c>
    </row>
    <row r="100" spans="2:5" x14ac:dyDescent="0.25">
      <c r="B100" s="13" t="s">
        <v>20</v>
      </c>
      <c r="C100" s="8">
        <v>13.58</v>
      </c>
      <c r="D100" s="8"/>
      <c r="E100" s="9" t="s">
        <v>43</v>
      </c>
    </row>
    <row r="101" spans="2:5" x14ac:dyDescent="0.25">
      <c r="B101" s="13" t="s">
        <v>2</v>
      </c>
      <c r="C101" s="8">
        <v>11.65</v>
      </c>
      <c r="D101" s="8"/>
      <c r="E101" s="9" t="s">
        <v>43</v>
      </c>
    </row>
    <row r="102" spans="2:5" x14ac:dyDescent="0.25">
      <c r="B102" s="13" t="s">
        <v>25</v>
      </c>
      <c r="C102" s="8">
        <v>17.98</v>
      </c>
      <c r="D102" s="8">
        <v>14.38</v>
      </c>
      <c r="E102" s="9" t="s">
        <v>43</v>
      </c>
    </row>
    <row r="103" spans="2:5" x14ac:dyDescent="0.25">
      <c r="B103" s="13" t="s">
        <v>16</v>
      </c>
      <c r="C103" s="8">
        <v>6.93</v>
      </c>
      <c r="D103" s="8"/>
      <c r="E103" s="9" t="s">
        <v>43</v>
      </c>
    </row>
    <row r="104" spans="2:5" x14ac:dyDescent="0.25">
      <c r="B104" s="13" t="s">
        <v>30</v>
      </c>
      <c r="C104" s="8">
        <v>17.13</v>
      </c>
      <c r="D104" s="8"/>
      <c r="E104" s="9" t="s">
        <v>43</v>
      </c>
    </row>
    <row r="105" spans="2:5" x14ac:dyDescent="0.25">
      <c r="B105" s="14" t="s">
        <v>5</v>
      </c>
      <c r="C105" s="14">
        <v>29.79</v>
      </c>
      <c r="D105" s="14">
        <v>18.82</v>
      </c>
      <c r="E105" s="9" t="s">
        <v>43</v>
      </c>
    </row>
    <row r="106" spans="2:5" x14ac:dyDescent="0.25">
      <c r="B106" s="14" t="s">
        <v>19</v>
      </c>
      <c r="C106" s="14">
        <v>13.96</v>
      </c>
      <c r="D106" s="14"/>
      <c r="E106" s="9" t="s">
        <v>43</v>
      </c>
    </row>
    <row r="107" spans="2:5" x14ac:dyDescent="0.25">
      <c r="B107" s="14" t="s">
        <v>18</v>
      </c>
      <c r="C107" s="14">
        <v>46.85</v>
      </c>
      <c r="D107" s="14">
        <v>17.28</v>
      </c>
      <c r="E107" s="9" t="s">
        <v>43</v>
      </c>
    </row>
    <row r="108" spans="2:5" x14ac:dyDescent="0.25">
      <c r="B108" s="11" t="s">
        <v>41</v>
      </c>
      <c r="C108" s="12">
        <f>SUM(C86:C107)</f>
        <v>271.31</v>
      </c>
      <c r="D108" s="12">
        <f>SUM(D86:D107)</f>
        <v>50.480000000000004</v>
      </c>
    </row>
  </sheetData>
  <sortState ref="B83:E104">
    <sortCondition ref="E83:E104"/>
  </sortState>
  <mergeCells count="7">
    <mergeCell ref="A1:G2"/>
    <mergeCell ref="B40:D40"/>
    <mergeCell ref="B62:D62"/>
    <mergeCell ref="B84:D84"/>
    <mergeCell ref="B6:E6"/>
    <mergeCell ref="D17:E17"/>
    <mergeCell ref="B18:E18"/>
  </mergeCells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selection sqref="A1:XFD1048576"/>
    </sheetView>
  </sheetViews>
  <sheetFormatPr baseColWidth="10" defaultRowHeight="15.75" x14ac:dyDescent="0.25"/>
  <cols>
    <col min="1" max="1" width="1.625" style="10" customWidth="1"/>
    <col min="2" max="2" width="17.5" style="2" bestFit="1" customWidth="1"/>
    <col min="3" max="3" width="8.25" style="10" bestFit="1" customWidth="1"/>
    <col min="4" max="4" width="5.25" style="10" bestFit="1" customWidth="1"/>
    <col min="5" max="5" width="9.625" style="10" bestFit="1" customWidth="1"/>
    <col min="6" max="6" width="9.125" style="10" bestFit="1" customWidth="1"/>
    <col min="7" max="7" width="13.625" style="10" bestFit="1" customWidth="1"/>
    <col min="8" max="8" width="11.5" style="10" customWidth="1"/>
    <col min="9" max="9" width="12.625" style="10" bestFit="1" customWidth="1"/>
    <col min="10" max="16384" width="11" style="10"/>
  </cols>
  <sheetData>
    <row r="1" spans="1:9" x14ac:dyDescent="0.25">
      <c r="A1" s="53"/>
      <c r="B1" s="53"/>
      <c r="C1" s="30"/>
      <c r="D1" s="30"/>
      <c r="E1" s="30"/>
      <c r="F1" s="30"/>
      <c r="G1" s="30"/>
      <c r="H1" s="31"/>
    </row>
    <row r="2" spans="1:9" x14ac:dyDescent="0.25">
      <c r="A2" s="53"/>
      <c r="B2" s="53"/>
      <c r="C2" s="30"/>
      <c r="D2" s="30"/>
      <c r="E2" s="30"/>
      <c r="F2" s="30"/>
      <c r="G2" s="30"/>
      <c r="H2" s="31"/>
    </row>
    <row r="3" spans="1:9" x14ac:dyDescent="0.25">
      <c r="A3" s="30"/>
      <c r="B3" s="30"/>
      <c r="C3" s="30"/>
      <c r="D3" s="30"/>
      <c r="E3" s="30"/>
      <c r="F3" s="30"/>
      <c r="G3" s="30"/>
      <c r="H3" s="31"/>
    </row>
    <row r="8" spans="1:9" x14ac:dyDescent="0.25">
      <c r="G8" s="27" t="s">
        <v>67</v>
      </c>
    </row>
    <row r="9" spans="1:9" x14ac:dyDescent="0.25">
      <c r="A9" s="27" t="s">
        <v>110</v>
      </c>
    </row>
    <row r="10" spans="1:9" x14ac:dyDescent="0.25">
      <c r="A10" s="27" t="s">
        <v>68</v>
      </c>
      <c r="G10" s="10" t="s">
        <v>109</v>
      </c>
    </row>
    <row r="13" spans="1:9" x14ac:dyDescent="0.25">
      <c r="B13" s="48" t="s">
        <v>32</v>
      </c>
      <c r="C13" s="48"/>
      <c r="D13" s="48"/>
      <c r="E13" s="48"/>
      <c r="F13" s="48"/>
      <c r="G13" s="48"/>
      <c r="H13" s="48"/>
      <c r="I13" s="48"/>
    </row>
    <row r="14" spans="1:9" ht="47.25" x14ac:dyDescent="0.25">
      <c r="B14" s="3" t="s">
        <v>0</v>
      </c>
      <c r="C14" s="4" t="s">
        <v>3</v>
      </c>
      <c r="D14" s="5" t="s">
        <v>111</v>
      </c>
      <c r="E14" s="6" t="s">
        <v>42</v>
      </c>
      <c r="F14" s="6" t="s">
        <v>70</v>
      </c>
      <c r="G14" s="6" t="s">
        <v>72</v>
      </c>
      <c r="H14" s="6" t="s">
        <v>71</v>
      </c>
      <c r="I14" s="6" t="s">
        <v>73</v>
      </c>
    </row>
    <row r="15" spans="1:9" ht="31.5" x14ac:dyDescent="0.25">
      <c r="B15" s="7" t="s">
        <v>45</v>
      </c>
      <c r="C15" s="8">
        <v>30.22</v>
      </c>
      <c r="D15" s="8" t="s">
        <v>112</v>
      </c>
      <c r="E15" s="28" t="s">
        <v>44</v>
      </c>
      <c r="F15" s="20">
        <v>9000</v>
      </c>
      <c r="G15" s="20">
        <f>+F15*C15</f>
        <v>271980</v>
      </c>
      <c r="H15" s="20">
        <v>4000</v>
      </c>
      <c r="I15" s="20">
        <f>+H15*C15</f>
        <v>120880</v>
      </c>
    </row>
    <row r="16" spans="1:9" x14ac:dyDescent="0.25">
      <c r="B16" s="7" t="s">
        <v>7</v>
      </c>
      <c r="C16" s="8">
        <v>1.99</v>
      </c>
      <c r="D16" s="8" t="s">
        <v>112</v>
      </c>
      <c r="E16" s="28" t="s">
        <v>44</v>
      </c>
      <c r="F16" s="20">
        <v>9000</v>
      </c>
      <c r="G16" s="20">
        <f t="shared" ref="G16:G23" si="0">+F16*C16</f>
        <v>17910</v>
      </c>
      <c r="H16" s="20">
        <v>4000</v>
      </c>
      <c r="I16" s="20">
        <f t="shared" ref="I16:I23" si="1">+H16*C16</f>
        <v>7960</v>
      </c>
    </row>
    <row r="17" spans="2:9" x14ac:dyDescent="0.25">
      <c r="B17" s="7" t="s">
        <v>7</v>
      </c>
      <c r="C17" s="8">
        <v>1.97</v>
      </c>
      <c r="D17" s="8" t="s">
        <v>112</v>
      </c>
      <c r="E17" s="28" t="s">
        <v>44</v>
      </c>
      <c r="F17" s="20">
        <v>9000</v>
      </c>
      <c r="G17" s="20">
        <f t="shared" si="0"/>
        <v>17730</v>
      </c>
      <c r="H17" s="20">
        <v>4000</v>
      </c>
      <c r="I17" s="20">
        <f t="shared" si="1"/>
        <v>7880</v>
      </c>
    </row>
    <row r="18" spans="2:9" x14ac:dyDescent="0.25">
      <c r="B18" s="7" t="s">
        <v>10</v>
      </c>
      <c r="C18" s="8">
        <v>5.3</v>
      </c>
      <c r="D18" s="8" t="s">
        <v>112</v>
      </c>
      <c r="E18" s="28" t="s">
        <v>44</v>
      </c>
      <c r="F18" s="20">
        <v>9000</v>
      </c>
      <c r="G18" s="20">
        <f t="shared" si="0"/>
        <v>47700</v>
      </c>
      <c r="H18" s="20">
        <v>4000</v>
      </c>
      <c r="I18" s="20">
        <f t="shared" si="1"/>
        <v>21200</v>
      </c>
    </row>
    <row r="19" spans="2:9" ht="31.5" x14ac:dyDescent="0.25">
      <c r="B19" s="7" t="s">
        <v>6</v>
      </c>
      <c r="C19" s="8">
        <v>11.02</v>
      </c>
      <c r="D19" s="8" t="s">
        <v>112</v>
      </c>
      <c r="E19" s="28" t="s">
        <v>43</v>
      </c>
      <c r="F19" s="20">
        <v>8000</v>
      </c>
      <c r="G19" s="20">
        <f t="shared" si="0"/>
        <v>88160</v>
      </c>
      <c r="H19" s="20">
        <v>4000</v>
      </c>
      <c r="I19" s="20">
        <f t="shared" si="1"/>
        <v>44080</v>
      </c>
    </row>
    <row r="20" spans="2:9" x14ac:dyDescent="0.25">
      <c r="B20" s="7" t="s">
        <v>9</v>
      </c>
      <c r="C20" s="8">
        <v>25.82</v>
      </c>
      <c r="D20" s="8" t="s">
        <v>112</v>
      </c>
      <c r="E20" s="28" t="s">
        <v>43</v>
      </c>
      <c r="F20" s="20">
        <v>8000</v>
      </c>
      <c r="G20" s="20">
        <f t="shared" si="0"/>
        <v>206560</v>
      </c>
      <c r="H20" s="20">
        <v>4000</v>
      </c>
      <c r="I20" s="20">
        <f t="shared" si="1"/>
        <v>103280</v>
      </c>
    </row>
    <row r="21" spans="2:9" x14ac:dyDescent="0.25">
      <c r="B21" s="7" t="s">
        <v>1</v>
      </c>
      <c r="C21" s="8">
        <v>26.25</v>
      </c>
      <c r="D21" s="8" t="s">
        <v>112</v>
      </c>
      <c r="E21" s="28" t="s">
        <v>43</v>
      </c>
      <c r="F21" s="20">
        <v>8000</v>
      </c>
      <c r="G21" s="20">
        <f t="shared" si="0"/>
        <v>210000</v>
      </c>
      <c r="H21" s="20">
        <v>4000</v>
      </c>
      <c r="I21" s="20">
        <f t="shared" si="1"/>
        <v>105000</v>
      </c>
    </row>
    <row r="22" spans="2:9" x14ac:dyDescent="0.25">
      <c r="B22" s="7" t="s">
        <v>8</v>
      </c>
      <c r="C22" s="8">
        <v>2.74</v>
      </c>
      <c r="D22" s="8" t="s">
        <v>112</v>
      </c>
      <c r="E22" s="28" t="s">
        <v>43</v>
      </c>
      <c r="F22" s="20">
        <v>8000</v>
      </c>
      <c r="G22" s="20">
        <f t="shared" si="0"/>
        <v>21920</v>
      </c>
      <c r="H22" s="20">
        <v>4000</v>
      </c>
      <c r="I22" s="20">
        <f t="shared" si="1"/>
        <v>10960</v>
      </c>
    </row>
    <row r="23" spans="2:9" x14ac:dyDescent="0.25">
      <c r="B23" s="7" t="s">
        <v>5</v>
      </c>
      <c r="C23" s="8">
        <v>16.78</v>
      </c>
      <c r="D23" s="8" t="s">
        <v>112</v>
      </c>
      <c r="E23" s="28" t="s">
        <v>43</v>
      </c>
      <c r="F23" s="20">
        <v>8000</v>
      </c>
      <c r="G23" s="20">
        <f t="shared" si="0"/>
        <v>134240</v>
      </c>
      <c r="H23" s="20">
        <v>4000</v>
      </c>
      <c r="I23" s="20">
        <f t="shared" si="1"/>
        <v>67120</v>
      </c>
    </row>
    <row r="24" spans="2:9" ht="63" x14ac:dyDescent="0.25">
      <c r="B24" s="33" t="s">
        <v>74</v>
      </c>
      <c r="C24" s="34">
        <f>SUM(C15:C23)</f>
        <v>122.08999999999999</v>
      </c>
      <c r="D24" s="52" t="s">
        <v>75</v>
      </c>
      <c r="E24" s="52"/>
      <c r="F24" s="52"/>
      <c r="G24" s="36">
        <f>SUM(G15:G23)</f>
        <v>1016200</v>
      </c>
      <c r="H24" s="33" t="s">
        <v>76</v>
      </c>
      <c r="I24" s="36">
        <f>SUM(I15:I23)</f>
        <v>488360</v>
      </c>
    </row>
    <row r="25" spans="2:9" ht="78.75" x14ac:dyDescent="0.25">
      <c r="B25" s="10"/>
      <c r="D25" s="38"/>
      <c r="E25" s="38"/>
      <c r="F25" s="38"/>
      <c r="G25" s="39"/>
      <c r="H25" s="40" t="s">
        <v>77</v>
      </c>
      <c r="I25" s="41">
        <f>+G24+I24</f>
        <v>1504560</v>
      </c>
    </row>
    <row r="26" spans="2:9" x14ac:dyDescent="0.25">
      <c r="B26" s="10"/>
      <c r="D26" s="38"/>
      <c r="E26" s="38"/>
      <c r="F26" s="38"/>
      <c r="G26" s="39"/>
      <c r="H26" s="40" t="s">
        <v>78</v>
      </c>
      <c r="I26" s="42">
        <f>+I25*18%</f>
        <v>270820.8</v>
      </c>
    </row>
    <row r="27" spans="2:9" ht="31.5" x14ac:dyDescent="0.25">
      <c r="B27" s="10"/>
      <c r="D27" s="38"/>
      <c r="E27" s="38"/>
      <c r="F27" s="38"/>
      <c r="G27" s="39"/>
      <c r="H27" s="40" t="s">
        <v>79</v>
      </c>
      <c r="I27" s="43">
        <f>+I26+I25</f>
        <v>1775380.8</v>
      </c>
    </row>
    <row r="28" spans="2:9" x14ac:dyDescent="0.25">
      <c r="B28" s="55" t="s">
        <v>80</v>
      </c>
      <c r="C28" s="55"/>
      <c r="D28" s="55"/>
      <c r="E28" s="55"/>
      <c r="F28" s="55"/>
      <c r="G28" s="55"/>
      <c r="H28" s="55"/>
      <c r="I28" s="55"/>
    </row>
    <row r="29" spans="2:9" ht="47.25" x14ac:dyDescent="0.25">
      <c r="B29" s="3" t="s">
        <v>0</v>
      </c>
      <c r="C29" s="4" t="s">
        <v>3</v>
      </c>
      <c r="D29" s="5" t="s">
        <v>111</v>
      </c>
      <c r="E29" s="6" t="s">
        <v>42</v>
      </c>
      <c r="F29" s="6" t="s">
        <v>70</v>
      </c>
      <c r="G29" s="6" t="s">
        <v>72</v>
      </c>
      <c r="H29" s="6" t="s">
        <v>71</v>
      </c>
      <c r="I29" s="6" t="s">
        <v>73</v>
      </c>
    </row>
    <row r="30" spans="2:9" x14ac:dyDescent="0.25">
      <c r="B30" s="14" t="s">
        <v>11</v>
      </c>
      <c r="C30" s="14">
        <v>3.47</v>
      </c>
      <c r="D30" s="14" t="s">
        <v>112</v>
      </c>
      <c r="E30" s="28" t="s">
        <v>44</v>
      </c>
      <c r="F30" s="20">
        <v>9000</v>
      </c>
      <c r="G30" s="20">
        <f>+F30*C30</f>
        <v>31230</v>
      </c>
      <c r="H30" s="20">
        <v>4000</v>
      </c>
      <c r="I30" s="20">
        <f>+H30*C30</f>
        <v>13880</v>
      </c>
    </row>
    <row r="31" spans="2:9" x14ac:dyDescent="0.25">
      <c r="B31" s="14" t="s">
        <v>12</v>
      </c>
      <c r="C31" s="14">
        <v>12.28</v>
      </c>
      <c r="D31" s="14" t="s">
        <v>112</v>
      </c>
      <c r="E31" s="28" t="s">
        <v>44</v>
      </c>
      <c r="F31" s="20">
        <v>9000</v>
      </c>
      <c r="G31" s="20">
        <f t="shared" ref="G31:G49" si="2">+F31*C31</f>
        <v>110520</v>
      </c>
      <c r="H31" s="20">
        <v>4000</v>
      </c>
      <c r="I31" s="20">
        <f t="shared" ref="I31:I49" si="3">+H31*C31</f>
        <v>49120</v>
      </c>
    </row>
    <row r="32" spans="2:9" x14ac:dyDescent="0.25">
      <c r="B32" s="14" t="s">
        <v>17</v>
      </c>
      <c r="C32" s="14">
        <v>1.82</v>
      </c>
      <c r="D32" s="14" t="s">
        <v>112</v>
      </c>
      <c r="E32" s="28" t="s">
        <v>44</v>
      </c>
      <c r="F32" s="20">
        <v>9000</v>
      </c>
      <c r="G32" s="20">
        <f t="shared" si="2"/>
        <v>16380</v>
      </c>
      <c r="H32" s="20">
        <v>4000</v>
      </c>
      <c r="I32" s="20">
        <f t="shared" si="3"/>
        <v>7280</v>
      </c>
    </row>
    <row r="33" spans="2:9" x14ac:dyDescent="0.25">
      <c r="B33" s="14" t="s">
        <v>11</v>
      </c>
      <c r="C33" s="14">
        <v>4.05</v>
      </c>
      <c r="D33" s="14" t="s">
        <v>112</v>
      </c>
      <c r="E33" s="28" t="s">
        <v>44</v>
      </c>
      <c r="F33" s="20">
        <v>9000</v>
      </c>
      <c r="G33" s="20">
        <f t="shared" si="2"/>
        <v>36450</v>
      </c>
      <c r="H33" s="20">
        <v>4000</v>
      </c>
      <c r="I33" s="20">
        <f t="shared" si="3"/>
        <v>16200</v>
      </c>
    </row>
    <row r="34" spans="2:9" x14ac:dyDescent="0.25">
      <c r="B34" s="14" t="s">
        <v>12</v>
      </c>
      <c r="C34" s="14">
        <v>12.28</v>
      </c>
      <c r="D34" s="14" t="s">
        <v>112</v>
      </c>
      <c r="E34" s="28" t="s">
        <v>44</v>
      </c>
      <c r="F34" s="20">
        <v>9000</v>
      </c>
      <c r="G34" s="20">
        <f t="shared" si="2"/>
        <v>110520</v>
      </c>
      <c r="H34" s="20">
        <v>4000</v>
      </c>
      <c r="I34" s="20">
        <f t="shared" si="3"/>
        <v>49120</v>
      </c>
    </row>
    <row r="35" spans="2:9" x14ac:dyDescent="0.25">
      <c r="B35" s="14" t="s">
        <v>17</v>
      </c>
      <c r="C35" s="14">
        <v>1.82</v>
      </c>
      <c r="D35" s="14" t="s">
        <v>112</v>
      </c>
      <c r="E35" s="28" t="s">
        <v>44</v>
      </c>
      <c r="F35" s="20">
        <v>9000</v>
      </c>
      <c r="G35" s="20">
        <f t="shared" si="2"/>
        <v>16380</v>
      </c>
      <c r="H35" s="20">
        <v>4000</v>
      </c>
      <c r="I35" s="20">
        <f t="shared" si="3"/>
        <v>7280</v>
      </c>
    </row>
    <row r="36" spans="2:9" x14ac:dyDescent="0.25">
      <c r="B36" s="14" t="s">
        <v>13</v>
      </c>
      <c r="C36" s="14">
        <v>14.43</v>
      </c>
      <c r="D36" s="14" t="s">
        <v>112</v>
      </c>
      <c r="E36" s="28" t="s">
        <v>43</v>
      </c>
      <c r="F36" s="20">
        <v>8000</v>
      </c>
      <c r="G36" s="20">
        <f t="shared" si="2"/>
        <v>115440</v>
      </c>
      <c r="H36" s="20">
        <v>4000</v>
      </c>
      <c r="I36" s="20">
        <f t="shared" si="3"/>
        <v>57720</v>
      </c>
    </row>
    <row r="37" spans="2:9" x14ac:dyDescent="0.25">
      <c r="B37" s="14" t="s">
        <v>14</v>
      </c>
      <c r="C37" s="14">
        <v>14.43</v>
      </c>
      <c r="D37" s="14" t="s">
        <v>112</v>
      </c>
      <c r="E37" s="28" t="s">
        <v>43</v>
      </c>
      <c r="F37" s="20">
        <v>8000</v>
      </c>
      <c r="G37" s="20">
        <f t="shared" si="2"/>
        <v>115440</v>
      </c>
      <c r="H37" s="20">
        <v>4000</v>
      </c>
      <c r="I37" s="20">
        <f t="shared" si="3"/>
        <v>57720</v>
      </c>
    </row>
    <row r="38" spans="2:9" x14ac:dyDescent="0.25">
      <c r="B38" s="14" t="s">
        <v>15</v>
      </c>
      <c r="C38" s="14">
        <v>17.920000000000002</v>
      </c>
      <c r="D38" s="14" t="s">
        <v>112</v>
      </c>
      <c r="E38" s="28" t="s">
        <v>43</v>
      </c>
      <c r="F38" s="20">
        <v>8000</v>
      </c>
      <c r="G38" s="20">
        <f t="shared" si="2"/>
        <v>143360</v>
      </c>
      <c r="H38" s="20">
        <v>4000</v>
      </c>
      <c r="I38" s="20">
        <f t="shared" si="3"/>
        <v>71680</v>
      </c>
    </row>
    <row r="39" spans="2:9" x14ac:dyDescent="0.25">
      <c r="B39" s="14" t="s">
        <v>16</v>
      </c>
      <c r="C39" s="14">
        <v>4.37</v>
      </c>
      <c r="D39" s="14" t="s">
        <v>112</v>
      </c>
      <c r="E39" s="28" t="s">
        <v>43</v>
      </c>
      <c r="F39" s="20">
        <v>8000</v>
      </c>
      <c r="G39" s="20">
        <f t="shared" si="2"/>
        <v>34960</v>
      </c>
      <c r="H39" s="20">
        <v>4000</v>
      </c>
      <c r="I39" s="20">
        <f t="shared" si="3"/>
        <v>17480</v>
      </c>
    </row>
    <row r="40" spans="2:9" x14ac:dyDescent="0.25">
      <c r="B40" s="14" t="s">
        <v>18</v>
      </c>
      <c r="C40" s="14">
        <v>35.909999999999997</v>
      </c>
      <c r="D40" s="14" t="s">
        <v>112</v>
      </c>
      <c r="E40" s="28" t="s">
        <v>43</v>
      </c>
      <c r="F40" s="20">
        <v>8000</v>
      </c>
      <c r="G40" s="20">
        <f t="shared" si="2"/>
        <v>287280</v>
      </c>
      <c r="H40" s="20">
        <v>4000</v>
      </c>
      <c r="I40" s="20">
        <f t="shared" si="3"/>
        <v>143640</v>
      </c>
    </row>
    <row r="41" spans="2:9" x14ac:dyDescent="0.25">
      <c r="B41" s="14" t="s">
        <v>19</v>
      </c>
      <c r="C41" s="14">
        <v>10.039999999999999</v>
      </c>
      <c r="D41" s="14" t="s">
        <v>112</v>
      </c>
      <c r="E41" s="28" t="s">
        <v>43</v>
      </c>
      <c r="F41" s="20">
        <v>8000</v>
      </c>
      <c r="G41" s="20">
        <f t="shared" si="2"/>
        <v>80320</v>
      </c>
      <c r="H41" s="20">
        <v>4000</v>
      </c>
      <c r="I41" s="20">
        <f t="shared" si="3"/>
        <v>40160</v>
      </c>
    </row>
    <row r="42" spans="2:9" x14ac:dyDescent="0.25">
      <c r="B42" s="14" t="s">
        <v>5</v>
      </c>
      <c r="C42" s="14">
        <v>28.09</v>
      </c>
      <c r="D42" s="14" t="s">
        <v>112</v>
      </c>
      <c r="E42" s="28" t="s">
        <v>43</v>
      </c>
      <c r="F42" s="20">
        <v>8000</v>
      </c>
      <c r="G42" s="20">
        <f t="shared" si="2"/>
        <v>224720</v>
      </c>
      <c r="H42" s="20">
        <v>4000</v>
      </c>
      <c r="I42" s="20">
        <f t="shared" si="3"/>
        <v>112360</v>
      </c>
    </row>
    <row r="43" spans="2:9" x14ac:dyDescent="0.25">
      <c r="B43" s="14" t="s">
        <v>18</v>
      </c>
      <c r="C43" s="14">
        <v>37.36</v>
      </c>
      <c r="D43" s="14" t="s">
        <v>112</v>
      </c>
      <c r="E43" s="28" t="s">
        <v>43</v>
      </c>
      <c r="F43" s="20">
        <v>8000</v>
      </c>
      <c r="G43" s="20">
        <f t="shared" si="2"/>
        <v>298880</v>
      </c>
      <c r="H43" s="20">
        <v>4000</v>
      </c>
      <c r="I43" s="20">
        <f t="shared" si="3"/>
        <v>149440</v>
      </c>
    </row>
    <row r="44" spans="2:9" x14ac:dyDescent="0.25">
      <c r="B44" s="14" t="s">
        <v>19</v>
      </c>
      <c r="C44" s="14">
        <v>9.91</v>
      </c>
      <c r="D44" s="14" t="s">
        <v>112</v>
      </c>
      <c r="E44" s="28" t="s">
        <v>43</v>
      </c>
      <c r="F44" s="20">
        <v>8000</v>
      </c>
      <c r="G44" s="20">
        <f t="shared" si="2"/>
        <v>79280</v>
      </c>
      <c r="H44" s="20">
        <v>4000</v>
      </c>
      <c r="I44" s="20">
        <f t="shared" si="3"/>
        <v>39640</v>
      </c>
    </row>
    <row r="45" spans="2:9" x14ac:dyDescent="0.25">
      <c r="B45" s="14" t="s">
        <v>13</v>
      </c>
      <c r="C45" s="14">
        <v>14.43</v>
      </c>
      <c r="D45" s="14" t="s">
        <v>112</v>
      </c>
      <c r="E45" s="28" t="s">
        <v>43</v>
      </c>
      <c r="F45" s="20">
        <v>8000</v>
      </c>
      <c r="G45" s="20">
        <f t="shared" si="2"/>
        <v>115440</v>
      </c>
      <c r="H45" s="20">
        <v>4000</v>
      </c>
      <c r="I45" s="20">
        <f t="shared" si="3"/>
        <v>57720</v>
      </c>
    </row>
    <row r="46" spans="2:9" x14ac:dyDescent="0.25">
      <c r="B46" s="14" t="s">
        <v>20</v>
      </c>
      <c r="C46" s="14">
        <v>14.43</v>
      </c>
      <c r="D46" s="14" t="s">
        <v>112</v>
      </c>
      <c r="E46" s="28" t="s">
        <v>43</v>
      </c>
      <c r="F46" s="20">
        <v>8000</v>
      </c>
      <c r="G46" s="20">
        <f t="shared" si="2"/>
        <v>115440</v>
      </c>
      <c r="H46" s="20">
        <v>4000</v>
      </c>
      <c r="I46" s="20">
        <f t="shared" si="3"/>
        <v>57720</v>
      </c>
    </row>
    <row r="47" spans="2:9" x14ac:dyDescent="0.25">
      <c r="B47" s="14" t="s">
        <v>15</v>
      </c>
      <c r="C47" s="14">
        <v>17.920000000000002</v>
      </c>
      <c r="D47" s="14" t="s">
        <v>112</v>
      </c>
      <c r="E47" s="28" t="s">
        <v>43</v>
      </c>
      <c r="F47" s="20">
        <v>8000</v>
      </c>
      <c r="G47" s="20">
        <f t="shared" si="2"/>
        <v>143360</v>
      </c>
      <c r="H47" s="20">
        <v>4000</v>
      </c>
      <c r="I47" s="20">
        <f t="shared" si="3"/>
        <v>71680</v>
      </c>
    </row>
    <row r="48" spans="2:9" x14ac:dyDescent="0.25">
      <c r="B48" s="14" t="s">
        <v>16</v>
      </c>
      <c r="C48" s="14">
        <v>4.37</v>
      </c>
      <c r="D48" s="14" t="s">
        <v>112</v>
      </c>
      <c r="E48" s="28" t="s">
        <v>43</v>
      </c>
      <c r="F48" s="20">
        <v>8000</v>
      </c>
      <c r="G48" s="20">
        <f t="shared" si="2"/>
        <v>34960</v>
      </c>
      <c r="H48" s="20">
        <v>4000</v>
      </c>
      <c r="I48" s="20">
        <f t="shared" si="3"/>
        <v>17480</v>
      </c>
    </row>
    <row r="49" spans="2:9" ht="31.5" x14ac:dyDescent="0.25">
      <c r="B49" s="14" t="s">
        <v>82</v>
      </c>
      <c r="C49" s="14">
        <v>33</v>
      </c>
      <c r="D49" s="14" t="s">
        <v>113</v>
      </c>
      <c r="E49" s="32" t="s">
        <v>81</v>
      </c>
      <c r="F49" s="20">
        <v>4500</v>
      </c>
      <c r="G49" s="20">
        <f t="shared" si="2"/>
        <v>148500</v>
      </c>
      <c r="H49" s="20">
        <v>2000</v>
      </c>
      <c r="I49" s="20">
        <f t="shared" si="3"/>
        <v>66000</v>
      </c>
    </row>
    <row r="50" spans="2:9" ht="63" x14ac:dyDescent="0.25">
      <c r="B50" s="33" t="s">
        <v>83</v>
      </c>
      <c r="C50" s="34">
        <f>SUM(C30:C48)</f>
        <v>259.33</v>
      </c>
      <c r="D50" s="52" t="s">
        <v>87</v>
      </c>
      <c r="E50" s="52"/>
      <c r="F50" s="52"/>
      <c r="G50" s="36">
        <f>SUM(G30:G49)</f>
        <v>2258860</v>
      </c>
      <c r="H50" s="33" t="s">
        <v>88</v>
      </c>
      <c r="I50" s="36">
        <f>SUM(I30:I49)</f>
        <v>1103320</v>
      </c>
    </row>
    <row r="51" spans="2:9" ht="78.75" x14ac:dyDescent="0.25">
      <c r="B51" s="37"/>
      <c r="C51" s="38"/>
      <c r="D51" s="38"/>
      <c r="E51" s="38"/>
      <c r="F51" s="38"/>
      <c r="G51" s="39"/>
      <c r="H51" s="40" t="s">
        <v>84</v>
      </c>
      <c r="I51" s="41">
        <f>+I50+G50</f>
        <v>3362180</v>
      </c>
    </row>
    <row r="52" spans="2:9" x14ac:dyDescent="0.25">
      <c r="B52" s="37"/>
      <c r="C52" s="38"/>
      <c r="D52" s="38"/>
      <c r="E52" s="38"/>
      <c r="F52" s="38"/>
      <c r="G52" s="39"/>
      <c r="H52" s="40" t="s">
        <v>78</v>
      </c>
      <c r="I52" s="42">
        <f>+I51*18%</f>
        <v>605192.4</v>
      </c>
    </row>
    <row r="53" spans="2:9" ht="31.5" x14ac:dyDescent="0.25">
      <c r="B53" s="37"/>
      <c r="C53" s="38"/>
      <c r="D53" s="38"/>
      <c r="E53" s="38"/>
      <c r="F53" s="38"/>
      <c r="G53" s="39"/>
      <c r="H53" s="40" t="s">
        <v>85</v>
      </c>
      <c r="I53" s="43">
        <f>+I52+I51</f>
        <v>3967372.4</v>
      </c>
    </row>
    <row r="54" spans="2:9" ht="63" x14ac:dyDescent="0.25">
      <c r="B54" s="33" t="s">
        <v>86</v>
      </c>
      <c r="C54" s="34">
        <f>+C50</f>
        <v>259.33</v>
      </c>
      <c r="D54" s="52" t="s">
        <v>89</v>
      </c>
      <c r="E54" s="52"/>
      <c r="F54" s="52"/>
      <c r="G54" s="36">
        <f>+G50</f>
        <v>2258860</v>
      </c>
      <c r="H54" s="33" t="s">
        <v>90</v>
      </c>
      <c r="I54" s="36">
        <f>+I50</f>
        <v>1103320</v>
      </c>
    </row>
    <row r="55" spans="2:9" ht="78.75" x14ac:dyDescent="0.25">
      <c r="B55" s="37"/>
      <c r="C55" s="38"/>
      <c r="D55" s="38"/>
      <c r="E55" s="38"/>
      <c r="F55" s="38"/>
      <c r="G55" s="39"/>
      <c r="H55" s="40" t="s">
        <v>91</v>
      </c>
      <c r="I55" s="41">
        <f>+I54+G54</f>
        <v>3362180</v>
      </c>
    </row>
    <row r="56" spans="2:9" x14ac:dyDescent="0.25">
      <c r="B56" s="37"/>
      <c r="C56" s="38"/>
      <c r="D56" s="38"/>
      <c r="E56" s="38"/>
      <c r="F56" s="38"/>
      <c r="G56" s="39"/>
      <c r="H56" s="40" t="s">
        <v>78</v>
      </c>
      <c r="I56" s="42">
        <f>+I55*18%</f>
        <v>605192.4</v>
      </c>
    </row>
    <row r="57" spans="2:9" ht="31.5" x14ac:dyDescent="0.25">
      <c r="B57" s="37"/>
      <c r="C57" s="38"/>
      <c r="D57" s="38"/>
      <c r="E57" s="38"/>
      <c r="F57" s="38"/>
      <c r="G57" s="39"/>
      <c r="H57" s="40" t="s">
        <v>92</v>
      </c>
      <c r="I57" s="43">
        <f>+I56+I55</f>
        <v>3967372.4</v>
      </c>
    </row>
    <row r="58" spans="2:9" ht="63" x14ac:dyDescent="0.25">
      <c r="B58" s="33" t="s">
        <v>93</v>
      </c>
      <c r="C58" s="34">
        <f>+C54</f>
        <v>259.33</v>
      </c>
      <c r="D58" s="52" t="s">
        <v>94</v>
      </c>
      <c r="E58" s="52"/>
      <c r="F58" s="52"/>
      <c r="G58" s="36">
        <f>+G54</f>
        <v>2258860</v>
      </c>
      <c r="H58" s="33" t="s">
        <v>95</v>
      </c>
      <c r="I58" s="36">
        <f>+I54</f>
        <v>1103320</v>
      </c>
    </row>
    <row r="59" spans="2:9" ht="78.75" x14ac:dyDescent="0.25">
      <c r="B59" s="37"/>
      <c r="C59" s="38"/>
      <c r="D59" s="38"/>
      <c r="E59" s="38"/>
      <c r="F59" s="38"/>
      <c r="G59" s="39"/>
      <c r="H59" s="40" t="s">
        <v>96</v>
      </c>
      <c r="I59" s="41">
        <f>+I58+G58</f>
        <v>3362180</v>
      </c>
    </row>
    <row r="60" spans="2:9" x14ac:dyDescent="0.25">
      <c r="B60" s="37"/>
      <c r="C60" s="38"/>
      <c r="D60" s="38"/>
      <c r="E60" s="38"/>
      <c r="F60" s="38"/>
      <c r="G60" s="39"/>
      <c r="H60" s="40" t="s">
        <v>78</v>
      </c>
      <c r="I60" s="42">
        <f>+I59*18%</f>
        <v>605192.4</v>
      </c>
    </row>
    <row r="61" spans="2:9" ht="31.5" x14ac:dyDescent="0.25">
      <c r="B61" s="37"/>
      <c r="C61" s="38"/>
      <c r="D61" s="38"/>
      <c r="E61" s="38"/>
      <c r="F61" s="38"/>
      <c r="G61" s="39"/>
      <c r="H61" s="40" t="s">
        <v>97</v>
      </c>
      <c r="I61" s="43">
        <f>+I60+I59</f>
        <v>3967372.4</v>
      </c>
    </row>
    <row r="62" spans="2:9" x14ac:dyDescent="0.25">
      <c r="B62" s="55" t="s">
        <v>40</v>
      </c>
      <c r="C62" s="55"/>
      <c r="D62" s="55"/>
      <c r="E62" s="55"/>
      <c r="F62" s="55"/>
      <c r="G62" s="55"/>
      <c r="H62" s="55"/>
      <c r="I62" s="55"/>
    </row>
    <row r="63" spans="2:9" ht="47.25" x14ac:dyDescent="0.25">
      <c r="B63" s="3" t="s">
        <v>0</v>
      </c>
      <c r="C63" s="4" t="s">
        <v>3</v>
      </c>
      <c r="D63" s="5" t="s">
        <v>111</v>
      </c>
      <c r="E63" s="6" t="s">
        <v>42</v>
      </c>
      <c r="F63" s="6" t="s">
        <v>70</v>
      </c>
      <c r="G63" s="6" t="s">
        <v>72</v>
      </c>
      <c r="H63" s="6" t="s">
        <v>71</v>
      </c>
      <c r="I63" s="6" t="s">
        <v>73</v>
      </c>
    </row>
    <row r="64" spans="2:9" x14ac:dyDescent="0.25">
      <c r="B64" s="14" t="s">
        <v>22</v>
      </c>
      <c r="C64" s="14">
        <v>3.67</v>
      </c>
      <c r="D64" s="14" t="s">
        <v>112</v>
      </c>
      <c r="E64" s="28" t="s">
        <v>44</v>
      </c>
      <c r="F64" s="20">
        <v>9000</v>
      </c>
      <c r="G64" s="20">
        <f>+F64*C64</f>
        <v>33030</v>
      </c>
      <c r="H64" s="20">
        <v>4000</v>
      </c>
      <c r="I64" s="20">
        <f>+H64*C64</f>
        <v>14680</v>
      </c>
    </row>
    <row r="65" spans="2:9" x14ac:dyDescent="0.25">
      <c r="B65" s="14" t="s">
        <v>23</v>
      </c>
      <c r="C65" s="14">
        <v>3.54</v>
      </c>
      <c r="D65" s="14" t="s">
        <v>112</v>
      </c>
      <c r="E65" s="28" t="s">
        <v>44</v>
      </c>
      <c r="F65" s="20">
        <v>9000</v>
      </c>
      <c r="G65" s="20">
        <f t="shared" ref="G65:G76" si="4">+F65*C65</f>
        <v>31860</v>
      </c>
      <c r="H65" s="20">
        <v>4000</v>
      </c>
      <c r="I65" s="20">
        <f t="shared" ref="I65:I76" si="5">+H65*C65</f>
        <v>14160</v>
      </c>
    </row>
    <row r="66" spans="2:9" x14ac:dyDescent="0.25">
      <c r="B66" s="14" t="s">
        <v>24</v>
      </c>
      <c r="C66" s="14">
        <v>3.54</v>
      </c>
      <c r="D66" s="14" t="s">
        <v>112</v>
      </c>
      <c r="E66" s="28" t="s">
        <v>44</v>
      </c>
      <c r="F66" s="20">
        <v>9000</v>
      </c>
      <c r="G66" s="20">
        <f t="shared" si="4"/>
        <v>31860</v>
      </c>
      <c r="H66" s="20">
        <v>4000</v>
      </c>
      <c r="I66" s="20">
        <f t="shared" si="5"/>
        <v>14160</v>
      </c>
    </row>
    <row r="67" spans="2:9" x14ac:dyDescent="0.25">
      <c r="B67" s="14" t="s">
        <v>26</v>
      </c>
      <c r="C67" s="14">
        <v>10.119999999999999</v>
      </c>
      <c r="D67" s="14" t="s">
        <v>112</v>
      </c>
      <c r="E67" s="28" t="s">
        <v>44</v>
      </c>
      <c r="F67" s="20">
        <v>9000</v>
      </c>
      <c r="G67" s="20">
        <f t="shared" si="4"/>
        <v>91080</v>
      </c>
      <c r="H67" s="20">
        <v>4000</v>
      </c>
      <c r="I67" s="20">
        <f t="shared" si="5"/>
        <v>40480</v>
      </c>
    </row>
    <row r="68" spans="2:9" x14ac:dyDescent="0.25">
      <c r="B68" s="14" t="s">
        <v>27</v>
      </c>
      <c r="C68" s="14">
        <v>7.82</v>
      </c>
      <c r="D68" s="14" t="s">
        <v>112</v>
      </c>
      <c r="E68" s="28" t="s">
        <v>44</v>
      </c>
      <c r="F68" s="20">
        <v>9000</v>
      </c>
      <c r="G68" s="20">
        <f t="shared" si="4"/>
        <v>70380</v>
      </c>
      <c r="H68" s="20">
        <v>4000</v>
      </c>
      <c r="I68" s="20">
        <f t="shared" si="5"/>
        <v>31280</v>
      </c>
    </row>
    <row r="69" spans="2:9" x14ac:dyDescent="0.25">
      <c r="B69" s="14" t="s">
        <v>28</v>
      </c>
      <c r="C69" s="14">
        <v>1.57</v>
      </c>
      <c r="D69" s="14" t="s">
        <v>112</v>
      </c>
      <c r="E69" s="28" t="s">
        <v>44</v>
      </c>
      <c r="F69" s="20">
        <v>9000</v>
      </c>
      <c r="G69" s="20">
        <f t="shared" si="4"/>
        <v>14130</v>
      </c>
      <c r="H69" s="20">
        <v>4000</v>
      </c>
      <c r="I69" s="20">
        <f t="shared" si="5"/>
        <v>6280</v>
      </c>
    </row>
    <row r="70" spans="2:9" x14ac:dyDescent="0.25">
      <c r="B70" s="14" t="s">
        <v>29</v>
      </c>
      <c r="C70" s="14">
        <v>1.75</v>
      </c>
      <c r="D70" s="14" t="s">
        <v>112</v>
      </c>
      <c r="E70" s="28" t="s">
        <v>44</v>
      </c>
      <c r="F70" s="20">
        <v>9000</v>
      </c>
      <c r="G70" s="20">
        <f t="shared" si="4"/>
        <v>15750</v>
      </c>
      <c r="H70" s="20">
        <v>4000</v>
      </c>
      <c r="I70" s="20">
        <f t="shared" si="5"/>
        <v>7000</v>
      </c>
    </row>
    <row r="71" spans="2:9" x14ac:dyDescent="0.25">
      <c r="B71" s="14" t="s">
        <v>17</v>
      </c>
      <c r="C71" s="14">
        <v>1.67</v>
      </c>
      <c r="D71" s="14" t="s">
        <v>112</v>
      </c>
      <c r="E71" s="28" t="s">
        <v>44</v>
      </c>
      <c r="F71" s="20">
        <v>9000</v>
      </c>
      <c r="G71" s="20">
        <f t="shared" si="4"/>
        <v>15030</v>
      </c>
      <c r="H71" s="20">
        <v>4000</v>
      </c>
      <c r="I71" s="20">
        <f t="shared" si="5"/>
        <v>6680</v>
      </c>
    </row>
    <row r="72" spans="2:9" x14ac:dyDescent="0.25">
      <c r="B72" s="14" t="s">
        <v>31</v>
      </c>
      <c r="C72" s="14">
        <v>1.77</v>
      </c>
      <c r="D72" s="14" t="s">
        <v>112</v>
      </c>
      <c r="E72" s="28" t="s">
        <v>44</v>
      </c>
      <c r="F72" s="20">
        <v>9000</v>
      </c>
      <c r="G72" s="20">
        <f t="shared" si="4"/>
        <v>15930</v>
      </c>
      <c r="H72" s="20">
        <v>4000</v>
      </c>
      <c r="I72" s="20">
        <f t="shared" si="5"/>
        <v>7080</v>
      </c>
    </row>
    <row r="73" spans="2:9" x14ac:dyDescent="0.25">
      <c r="B73" s="14" t="s">
        <v>7</v>
      </c>
      <c r="C73" s="14">
        <v>2.12</v>
      </c>
      <c r="D73" s="14" t="s">
        <v>112</v>
      </c>
      <c r="E73" s="28" t="s">
        <v>44</v>
      </c>
      <c r="F73" s="20">
        <v>9000</v>
      </c>
      <c r="G73" s="20">
        <f t="shared" si="4"/>
        <v>19080</v>
      </c>
      <c r="H73" s="20">
        <v>4000</v>
      </c>
      <c r="I73" s="20">
        <f t="shared" si="5"/>
        <v>8480</v>
      </c>
    </row>
    <row r="74" spans="2:9" x14ac:dyDescent="0.25">
      <c r="B74" s="14" t="s">
        <v>11</v>
      </c>
      <c r="C74" s="14">
        <v>16.170000000000002</v>
      </c>
      <c r="D74" s="14" t="s">
        <v>112</v>
      </c>
      <c r="E74" s="28" t="s">
        <v>44</v>
      </c>
      <c r="F74" s="20">
        <v>9000</v>
      </c>
      <c r="G74" s="20">
        <f t="shared" si="4"/>
        <v>145530.00000000003</v>
      </c>
      <c r="H74" s="20">
        <v>4000</v>
      </c>
      <c r="I74" s="20">
        <f t="shared" si="5"/>
        <v>64680.000000000007</v>
      </c>
    </row>
    <row r="75" spans="2:9" x14ac:dyDescent="0.25">
      <c r="B75" s="14" t="s">
        <v>26</v>
      </c>
      <c r="C75" s="14">
        <v>29.79</v>
      </c>
      <c r="D75" s="14" t="s">
        <v>112</v>
      </c>
      <c r="E75" s="28" t="s">
        <v>44</v>
      </c>
      <c r="F75" s="20">
        <v>9000</v>
      </c>
      <c r="G75" s="20">
        <f t="shared" si="4"/>
        <v>268110</v>
      </c>
      <c r="H75" s="20">
        <v>4000</v>
      </c>
      <c r="I75" s="20">
        <f t="shared" si="5"/>
        <v>119160</v>
      </c>
    </row>
    <row r="76" spans="2:9" x14ac:dyDescent="0.25">
      <c r="B76" s="14" t="s">
        <v>21</v>
      </c>
      <c r="C76" s="14">
        <v>16.329999999999998</v>
      </c>
      <c r="D76" s="14" t="s">
        <v>112</v>
      </c>
      <c r="E76" s="28" t="s">
        <v>43</v>
      </c>
      <c r="F76" s="20">
        <v>8000</v>
      </c>
      <c r="G76" s="20">
        <f t="shared" si="4"/>
        <v>130639.99999999999</v>
      </c>
      <c r="H76" s="20">
        <v>4000</v>
      </c>
      <c r="I76" s="20">
        <f t="shared" si="5"/>
        <v>65319.999999999993</v>
      </c>
    </row>
    <row r="77" spans="2:9" x14ac:dyDescent="0.25">
      <c r="B77" s="14" t="s">
        <v>13</v>
      </c>
      <c r="C77" s="14">
        <v>13.58</v>
      </c>
      <c r="D77" s="14" t="s">
        <v>112</v>
      </c>
      <c r="E77" s="28" t="s">
        <v>43</v>
      </c>
      <c r="F77" s="20">
        <v>8000</v>
      </c>
      <c r="G77" s="20">
        <f t="shared" ref="G77:G85" si="6">+F77*C77</f>
        <v>108640</v>
      </c>
      <c r="H77" s="20">
        <v>4000</v>
      </c>
      <c r="I77" s="20">
        <f t="shared" ref="I77:I85" si="7">+H77*C77</f>
        <v>54320</v>
      </c>
    </row>
    <row r="78" spans="2:9" x14ac:dyDescent="0.25">
      <c r="B78" s="14" t="s">
        <v>20</v>
      </c>
      <c r="C78" s="14">
        <v>13.58</v>
      </c>
      <c r="D78" s="14" t="s">
        <v>112</v>
      </c>
      <c r="E78" s="28" t="s">
        <v>43</v>
      </c>
      <c r="F78" s="20">
        <v>8000</v>
      </c>
      <c r="G78" s="20">
        <f t="shared" si="6"/>
        <v>108640</v>
      </c>
      <c r="H78" s="20">
        <v>4000</v>
      </c>
      <c r="I78" s="20">
        <f t="shared" si="7"/>
        <v>54320</v>
      </c>
    </row>
    <row r="79" spans="2:9" x14ac:dyDescent="0.25">
      <c r="B79" s="14" t="s">
        <v>2</v>
      </c>
      <c r="C79" s="14">
        <v>11.65</v>
      </c>
      <c r="D79" s="14" t="s">
        <v>112</v>
      </c>
      <c r="E79" s="28" t="s">
        <v>43</v>
      </c>
      <c r="F79" s="20">
        <v>8000</v>
      </c>
      <c r="G79" s="20">
        <f t="shared" si="6"/>
        <v>93200</v>
      </c>
      <c r="H79" s="20">
        <v>4000</v>
      </c>
      <c r="I79" s="20">
        <f t="shared" si="7"/>
        <v>46600</v>
      </c>
    </row>
    <row r="80" spans="2:9" x14ac:dyDescent="0.25">
      <c r="B80" s="14" t="s">
        <v>25</v>
      </c>
      <c r="C80" s="14">
        <v>17.98</v>
      </c>
      <c r="D80" s="14" t="s">
        <v>112</v>
      </c>
      <c r="E80" s="28" t="s">
        <v>43</v>
      </c>
      <c r="F80" s="20">
        <v>8000</v>
      </c>
      <c r="G80" s="20">
        <f t="shared" si="6"/>
        <v>143840</v>
      </c>
      <c r="H80" s="20">
        <v>4000</v>
      </c>
      <c r="I80" s="20">
        <f t="shared" si="7"/>
        <v>71920</v>
      </c>
    </row>
    <row r="81" spans="2:9" x14ac:dyDescent="0.25">
      <c r="B81" s="14" t="s">
        <v>16</v>
      </c>
      <c r="C81" s="14">
        <v>6.93</v>
      </c>
      <c r="D81" s="14" t="s">
        <v>112</v>
      </c>
      <c r="E81" s="28" t="s">
        <v>43</v>
      </c>
      <c r="F81" s="20">
        <v>8000</v>
      </c>
      <c r="G81" s="20">
        <f t="shared" si="6"/>
        <v>55440</v>
      </c>
      <c r="H81" s="20">
        <v>4000</v>
      </c>
      <c r="I81" s="20">
        <f t="shared" si="7"/>
        <v>27720</v>
      </c>
    </row>
    <row r="82" spans="2:9" x14ac:dyDescent="0.25">
      <c r="B82" s="14" t="s">
        <v>30</v>
      </c>
      <c r="C82" s="14">
        <v>17.13</v>
      </c>
      <c r="D82" s="14" t="s">
        <v>112</v>
      </c>
      <c r="E82" s="28" t="s">
        <v>43</v>
      </c>
      <c r="F82" s="20">
        <v>8000</v>
      </c>
      <c r="G82" s="20">
        <f t="shared" si="6"/>
        <v>137040</v>
      </c>
      <c r="H82" s="20">
        <v>4000</v>
      </c>
      <c r="I82" s="20">
        <f t="shared" si="7"/>
        <v>68520</v>
      </c>
    </row>
    <row r="83" spans="2:9" x14ac:dyDescent="0.25">
      <c r="B83" s="14" t="s">
        <v>5</v>
      </c>
      <c r="C83" s="14">
        <v>29.79</v>
      </c>
      <c r="D83" s="14" t="s">
        <v>112</v>
      </c>
      <c r="E83" s="28" t="s">
        <v>43</v>
      </c>
      <c r="F83" s="20">
        <v>8000</v>
      </c>
      <c r="G83" s="20">
        <f t="shared" si="6"/>
        <v>238320</v>
      </c>
      <c r="H83" s="20">
        <v>4000</v>
      </c>
      <c r="I83" s="20">
        <f t="shared" si="7"/>
        <v>119160</v>
      </c>
    </row>
    <row r="84" spans="2:9" x14ac:dyDescent="0.25">
      <c r="B84" s="14" t="s">
        <v>19</v>
      </c>
      <c r="C84" s="14">
        <v>13.96</v>
      </c>
      <c r="D84" s="14" t="s">
        <v>112</v>
      </c>
      <c r="E84" s="28" t="s">
        <v>43</v>
      </c>
      <c r="F84" s="20">
        <v>8000</v>
      </c>
      <c r="G84" s="20">
        <f t="shared" si="6"/>
        <v>111680</v>
      </c>
      <c r="H84" s="20">
        <v>4000</v>
      </c>
      <c r="I84" s="20">
        <f t="shared" si="7"/>
        <v>55840</v>
      </c>
    </row>
    <row r="85" spans="2:9" x14ac:dyDescent="0.25">
      <c r="B85" s="14" t="s">
        <v>18</v>
      </c>
      <c r="C85" s="14">
        <v>46.85</v>
      </c>
      <c r="D85" s="14" t="s">
        <v>112</v>
      </c>
      <c r="E85" s="28" t="s">
        <v>43</v>
      </c>
      <c r="F85" s="20">
        <v>8000</v>
      </c>
      <c r="G85" s="20">
        <f t="shared" si="6"/>
        <v>374800</v>
      </c>
      <c r="H85" s="20">
        <v>4000</v>
      </c>
      <c r="I85" s="20">
        <f t="shared" si="7"/>
        <v>187400</v>
      </c>
    </row>
    <row r="86" spans="2:9" ht="31.5" x14ac:dyDescent="0.25">
      <c r="B86" s="44" t="s">
        <v>98</v>
      </c>
      <c r="C86" s="14">
        <v>50.48</v>
      </c>
      <c r="D86" s="14" t="s">
        <v>113</v>
      </c>
      <c r="E86" s="32" t="s">
        <v>81</v>
      </c>
      <c r="F86" s="20">
        <v>4500</v>
      </c>
      <c r="G86" s="20">
        <f>+F86*C86</f>
        <v>227160</v>
      </c>
      <c r="H86" s="20">
        <v>2000</v>
      </c>
      <c r="I86" s="20">
        <f>+H86*C86</f>
        <v>100960</v>
      </c>
    </row>
    <row r="87" spans="2:9" ht="63" x14ac:dyDescent="0.25">
      <c r="B87" s="33" t="s">
        <v>99</v>
      </c>
      <c r="C87" s="34">
        <f>SUM(C64:C85)</f>
        <v>271.31</v>
      </c>
      <c r="D87" s="52" t="s">
        <v>102</v>
      </c>
      <c r="E87" s="52"/>
      <c r="F87" s="52"/>
      <c r="G87" s="36">
        <f>SUM(G64:G86)</f>
        <v>2481170</v>
      </c>
      <c r="H87" s="33" t="s">
        <v>106</v>
      </c>
      <c r="I87" s="36">
        <f>SUM(I64:I86)</f>
        <v>1186200</v>
      </c>
    </row>
    <row r="88" spans="2:9" ht="78.75" x14ac:dyDescent="0.25">
      <c r="B88" s="37"/>
      <c r="C88" s="38"/>
      <c r="D88" s="38"/>
      <c r="E88" s="38"/>
      <c r="F88" s="38"/>
      <c r="G88" s="39"/>
      <c r="H88" s="40" t="s">
        <v>100</v>
      </c>
      <c r="I88" s="41">
        <f>+I87+G87</f>
        <v>3667370</v>
      </c>
    </row>
    <row r="89" spans="2:9" x14ac:dyDescent="0.25">
      <c r="B89" s="37"/>
      <c r="C89" s="38"/>
      <c r="D89" s="38"/>
      <c r="E89" s="38"/>
      <c r="F89" s="38"/>
      <c r="G89" s="39"/>
      <c r="H89" s="40" t="s">
        <v>78</v>
      </c>
      <c r="I89" s="42">
        <f>+I88*18%</f>
        <v>660126.6</v>
      </c>
    </row>
    <row r="90" spans="2:9" ht="31.5" x14ac:dyDescent="0.25">
      <c r="B90" s="37"/>
      <c r="C90" s="38"/>
      <c r="D90" s="38"/>
      <c r="E90" s="38"/>
      <c r="F90" s="38"/>
      <c r="G90" s="39"/>
      <c r="H90" s="40" t="s">
        <v>101</v>
      </c>
      <c r="I90" s="43">
        <f>+I89+I88</f>
        <v>4327496.5999999996</v>
      </c>
    </row>
    <row r="92" spans="2:9" ht="78.75" x14ac:dyDescent="0.25">
      <c r="B92" s="33" t="s">
        <v>103</v>
      </c>
      <c r="C92" s="34">
        <f>+C87+C58+C54+C50+C24</f>
        <v>1171.3899999999999</v>
      </c>
      <c r="D92" s="52" t="s">
        <v>104</v>
      </c>
      <c r="E92" s="52"/>
      <c r="F92" s="52"/>
      <c r="G92" s="36">
        <f>+G87+G58+G54+G50+G24</f>
        <v>10273950</v>
      </c>
      <c r="H92" s="33" t="s">
        <v>105</v>
      </c>
      <c r="I92" s="36">
        <f>+I87+I58+I54+I50+I24</f>
        <v>4984520</v>
      </c>
    </row>
    <row r="93" spans="2:9" ht="78.75" x14ac:dyDescent="0.25">
      <c r="B93" s="37"/>
      <c r="C93" s="38"/>
      <c r="D93" s="38"/>
      <c r="E93" s="38"/>
      <c r="F93" s="38"/>
      <c r="G93" s="39"/>
      <c r="H93" s="40" t="s">
        <v>107</v>
      </c>
      <c r="I93" s="41">
        <f>+I92+G92</f>
        <v>15258470</v>
      </c>
    </row>
    <row r="94" spans="2:9" x14ac:dyDescent="0.25">
      <c r="B94" s="37"/>
      <c r="C94" s="38"/>
      <c r="D94" s="38"/>
      <c r="E94" s="38"/>
      <c r="F94" s="38"/>
      <c r="G94" s="39"/>
      <c r="H94" s="40" t="s">
        <v>78</v>
      </c>
      <c r="I94" s="42">
        <f>+I93*18%</f>
        <v>2746524.6</v>
      </c>
    </row>
    <row r="95" spans="2:9" ht="31.5" x14ac:dyDescent="0.25">
      <c r="B95" s="37"/>
      <c r="C95" s="38"/>
      <c r="D95" s="38"/>
      <c r="E95" s="38"/>
      <c r="F95" s="38"/>
      <c r="G95" s="39"/>
      <c r="H95" s="40" t="s">
        <v>108</v>
      </c>
      <c r="I95" s="43">
        <f>+I93+I94</f>
        <v>18004994.600000001</v>
      </c>
    </row>
    <row r="98" spans="2:9" x14ac:dyDescent="0.25">
      <c r="B98" s="54" t="s">
        <v>114</v>
      </c>
      <c r="C98" s="54"/>
      <c r="D98" s="54"/>
      <c r="E98" s="54"/>
      <c r="F98" s="54"/>
      <c r="G98" s="54"/>
      <c r="H98" s="54"/>
      <c r="I98" s="54"/>
    </row>
  </sheetData>
  <mergeCells count="11">
    <mergeCell ref="D87:F87"/>
    <mergeCell ref="D92:F92"/>
    <mergeCell ref="A1:B2"/>
    <mergeCell ref="B98:I98"/>
    <mergeCell ref="B13:I13"/>
    <mergeCell ref="D24:F24"/>
    <mergeCell ref="B28:I28"/>
    <mergeCell ref="D50:F50"/>
    <mergeCell ref="D54:F54"/>
    <mergeCell ref="D58:F58"/>
    <mergeCell ref="B62:I62"/>
  </mergeCells>
  <pageMargins left="0.25" right="0.25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topLeftCell="A29" workbookViewId="0">
      <selection activeCell="J43" sqref="J43"/>
    </sheetView>
  </sheetViews>
  <sheetFormatPr baseColWidth="10" defaultRowHeight="15.75" x14ac:dyDescent="0.25"/>
  <cols>
    <col min="1" max="1" width="1.625" style="10" customWidth="1"/>
    <col min="2" max="2" width="17.5" style="45" bestFit="1" customWidth="1"/>
    <col min="3" max="3" width="8.25" style="10" bestFit="1" customWidth="1"/>
    <col min="4" max="4" width="5.25" style="10" bestFit="1" customWidth="1"/>
    <col min="5" max="5" width="9.625" style="10" bestFit="1" customWidth="1"/>
    <col min="6" max="8" width="11" style="10"/>
    <col min="9" max="9" width="17" style="10" bestFit="1" customWidth="1"/>
    <col min="10" max="16384" width="11" style="10"/>
  </cols>
  <sheetData>
    <row r="1" spans="1:5" x14ac:dyDescent="0.25">
      <c r="A1" s="53"/>
      <c r="B1" s="53"/>
      <c r="C1" s="30"/>
      <c r="D1" s="30"/>
      <c r="E1" s="30"/>
    </row>
    <row r="2" spans="1:5" x14ac:dyDescent="0.25">
      <c r="A2" s="53"/>
      <c r="B2" s="53"/>
      <c r="C2" s="30"/>
      <c r="D2" s="30"/>
      <c r="E2" s="30"/>
    </row>
    <row r="3" spans="1:5" x14ac:dyDescent="0.25">
      <c r="A3" s="30"/>
      <c r="B3" s="30"/>
      <c r="C3" s="30"/>
      <c r="D3" s="30"/>
      <c r="E3" s="30"/>
    </row>
    <row r="9" spans="1:5" x14ac:dyDescent="0.25">
      <c r="A9" s="27" t="s">
        <v>110</v>
      </c>
    </row>
    <row r="10" spans="1:5" x14ac:dyDescent="0.25">
      <c r="A10" s="27" t="s">
        <v>68</v>
      </c>
    </row>
    <row r="13" spans="1:5" x14ac:dyDescent="0.25">
      <c r="B13" s="48" t="s">
        <v>32</v>
      </c>
      <c r="C13" s="48"/>
      <c r="D13" s="48"/>
      <c r="E13" s="48"/>
    </row>
    <row r="14" spans="1:5" ht="31.5" x14ac:dyDescent="0.25">
      <c r="B14" s="3" t="s">
        <v>0</v>
      </c>
      <c r="C14" s="4" t="s">
        <v>3</v>
      </c>
      <c r="D14" s="5" t="s">
        <v>111</v>
      </c>
      <c r="E14" s="6" t="s">
        <v>42</v>
      </c>
    </row>
    <row r="15" spans="1:5" ht="31.5" x14ac:dyDescent="0.25">
      <c r="B15" s="7" t="s">
        <v>45</v>
      </c>
      <c r="C15" s="8">
        <v>30.22</v>
      </c>
      <c r="D15" s="8" t="s">
        <v>112</v>
      </c>
      <c r="E15" s="29" t="s">
        <v>44</v>
      </c>
    </row>
    <row r="16" spans="1:5" x14ac:dyDescent="0.25">
      <c r="B16" s="7" t="s">
        <v>7</v>
      </c>
      <c r="C16" s="8">
        <v>1.99</v>
      </c>
      <c r="D16" s="8" t="s">
        <v>112</v>
      </c>
      <c r="E16" s="29" t="s">
        <v>44</v>
      </c>
    </row>
    <row r="17" spans="2:10" x14ac:dyDescent="0.25">
      <c r="B17" s="7" t="s">
        <v>7</v>
      </c>
      <c r="C17" s="8">
        <v>1.97</v>
      </c>
      <c r="D17" s="8" t="s">
        <v>112</v>
      </c>
      <c r="E17" s="29" t="s">
        <v>44</v>
      </c>
    </row>
    <row r="18" spans="2:10" x14ac:dyDescent="0.25">
      <c r="B18" s="7" t="s">
        <v>10</v>
      </c>
      <c r="C18" s="8">
        <v>5.3</v>
      </c>
      <c r="D18" s="8" t="s">
        <v>112</v>
      </c>
      <c r="E18" s="29" t="s">
        <v>44</v>
      </c>
    </row>
    <row r="19" spans="2:10" ht="31.5" x14ac:dyDescent="0.25">
      <c r="B19" s="7" t="s">
        <v>6</v>
      </c>
      <c r="C19" s="8">
        <v>11.02</v>
      </c>
      <c r="D19" s="8" t="s">
        <v>112</v>
      </c>
      <c r="E19" s="29" t="s">
        <v>43</v>
      </c>
    </row>
    <row r="20" spans="2:10" x14ac:dyDescent="0.25">
      <c r="B20" s="7" t="s">
        <v>9</v>
      </c>
      <c r="C20" s="8">
        <v>25.82</v>
      </c>
      <c r="D20" s="8" t="s">
        <v>112</v>
      </c>
      <c r="E20" s="29" t="s">
        <v>43</v>
      </c>
    </row>
    <row r="21" spans="2:10" x14ac:dyDescent="0.25">
      <c r="B21" s="7" t="s">
        <v>1</v>
      </c>
      <c r="C21" s="8">
        <v>26.25</v>
      </c>
      <c r="D21" s="8" t="s">
        <v>112</v>
      </c>
      <c r="E21" s="29" t="s">
        <v>43</v>
      </c>
    </row>
    <row r="22" spans="2:10" x14ac:dyDescent="0.25">
      <c r="B22" s="7" t="s">
        <v>8</v>
      </c>
      <c r="C22" s="8">
        <v>2.74</v>
      </c>
      <c r="D22" s="8" t="s">
        <v>112</v>
      </c>
      <c r="E22" s="29" t="s">
        <v>43</v>
      </c>
    </row>
    <row r="23" spans="2:10" x14ac:dyDescent="0.25">
      <c r="B23" s="7" t="s">
        <v>5</v>
      </c>
      <c r="C23" s="8">
        <v>16.78</v>
      </c>
      <c r="D23" s="8" t="s">
        <v>112</v>
      </c>
      <c r="E23" s="29" t="s">
        <v>43</v>
      </c>
    </row>
    <row r="24" spans="2:10" ht="31.5" x14ac:dyDescent="0.25">
      <c r="B24" s="33" t="s">
        <v>74</v>
      </c>
      <c r="C24" s="35">
        <f>SUM(C15:C23)</f>
        <v>122.08999999999999</v>
      </c>
      <c r="D24" s="52" t="s">
        <v>75</v>
      </c>
      <c r="E24" s="52"/>
    </row>
    <row r="25" spans="2:10" x14ac:dyDescent="0.25">
      <c r="B25" s="10"/>
      <c r="D25" s="38"/>
      <c r="E25" s="38"/>
    </row>
    <row r="26" spans="2:10" x14ac:dyDescent="0.25">
      <c r="B26" s="10"/>
      <c r="D26" s="38"/>
      <c r="E26" s="38"/>
    </row>
    <row r="27" spans="2:10" x14ac:dyDescent="0.25">
      <c r="B27" s="10"/>
      <c r="D27" s="38"/>
      <c r="E27" s="38"/>
    </row>
    <row r="28" spans="2:10" x14ac:dyDescent="0.25">
      <c r="B28" s="55" t="s">
        <v>80</v>
      </c>
      <c r="C28" s="55"/>
      <c r="D28" s="55"/>
      <c r="E28" s="55"/>
      <c r="H28" s="61" t="s">
        <v>136</v>
      </c>
      <c r="I28" s="61"/>
    </row>
    <row r="29" spans="2:10" ht="31.5" x14ac:dyDescent="0.25">
      <c r="B29" s="3" t="s">
        <v>0</v>
      </c>
      <c r="C29" s="4" t="s">
        <v>3</v>
      </c>
      <c r="D29" s="5" t="s">
        <v>111</v>
      </c>
      <c r="E29" s="6" t="s">
        <v>42</v>
      </c>
      <c r="G29" s="59" t="s">
        <v>115</v>
      </c>
      <c r="H29" s="59"/>
      <c r="I29" s="59"/>
      <c r="J29" s="60"/>
    </row>
    <row r="30" spans="2:10" x14ac:dyDescent="0.25">
      <c r="B30" s="14" t="s">
        <v>11</v>
      </c>
      <c r="C30" s="14">
        <v>3.47</v>
      </c>
      <c r="D30" s="14" t="s">
        <v>112</v>
      </c>
      <c r="E30" s="29" t="s">
        <v>44</v>
      </c>
      <c r="G30" s="29" t="s">
        <v>133</v>
      </c>
      <c r="H30" s="29">
        <f>+C36+C37+C38+C39+C40+C41</f>
        <v>97.1</v>
      </c>
      <c r="I30" s="58" t="s">
        <v>131</v>
      </c>
      <c r="J30" s="58" t="s">
        <v>132</v>
      </c>
    </row>
    <row r="31" spans="2:10" x14ac:dyDescent="0.25">
      <c r="B31" s="14" t="s">
        <v>12</v>
      </c>
      <c r="C31" s="14">
        <v>12.28</v>
      </c>
      <c r="D31" s="14" t="s">
        <v>112</v>
      </c>
      <c r="E31" s="29" t="s">
        <v>44</v>
      </c>
      <c r="G31" s="29" t="s">
        <v>134</v>
      </c>
      <c r="H31" s="29">
        <f>+C30+C31+C32</f>
        <v>17.57</v>
      </c>
      <c r="I31" s="29" t="s">
        <v>116</v>
      </c>
      <c r="J31" s="29">
        <v>73</v>
      </c>
    </row>
    <row r="32" spans="2:10" x14ac:dyDescent="0.25">
      <c r="B32" s="14" t="s">
        <v>17</v>
      </c>
      <c r="C32" s="14">
        <v>1.82</v>
      </c>
      <c r="D32" s="14" t="s">
        <v>112</v>
      </c>
      <c r="E32" s="29" t="s">
        <v>44</v>
      </c>
      <c r="G32" s="29" t="s">
        <v>135</v>
      </c>
      <c r="H32" s="29">
        <f>+C49</f>
        <v>33</v>
      </c>
      <c r="I32" s="29" t="s">
        <v>117</v>
      </c>
      <c r="J32" s="29">
        <v>18</v>
      </c>
    </row>
    <row r="33" spans="2:10" x14ac:dyDescent="0.25">
      <c r="B33" s="14" t="s">
        <v>11</v>
      </c>
      <c r="C33" s="14">
        <v>4.05</v>
      </c>
      <c r="D33" s="14" t="s">
        <v>112</v>
      </c>
      <c r="E33" s="29" t="s">
        <v>44</v>
      </c>
      <c r="I33" s="29" t="s">
        <v>118</v>
      </c>
      <c r="J33" s="29">
        <v>230</v>
      </c>
    </row>
    <row r="34" spans="2:10" x14ac:dyDescent="0.25">
      <c r="B34" s="14" t="s">
        <v>12</v>
      </c>
      <c r="C34" s="14">
        <v>12.28</v>
      </c>
      <c r="D34" s="14" t="s">
        <v>112</v>
      </c>
      <c r="E34" s="29" t="s">
        <v>44</v>
      </c>
      <c r="I34" s="29" t="s">
        <v>119</v>
      </c>
      <c r="J34" s="29">
        <v>115</v>
      </c>
    </row>
    <row r="35" spans="2:10" x14ac:dyDescent="0.25">
      <c r="B35" s="14" t="s">
        <v>17</v>
      </c>
      <c r="C35" s="14">
        <v>1.82</v>
      </c>
      <c r="D35" s="14" t="s">
        <v>112</v>
      </c>
      <c r="E35" s="29" t="s">
        <v>44</v>
      </c>
      <c r="I35" s="29" t="s">
        <v>120</v>
      </c>
      <c r="J35" s="29">
        <v>230</v>
      </c>
    </row>
    <row r="36" spans="2:10" x14ac:dyDescent="0.25">
      <c r="B36" s="14" t="s">
        <v>13</v>
      </c>
      <c r="C36" s="14">
        <v>14.43</v>
      </c>
      <c r="D36" s="14" t="s">
        <v>112</v>
      </c>
      <c r="E36" s="29" t="s">
        <v>43</v>
      </c>
      <c r="I36" s="29" t="s">
        <v>121</v>
      </c>
      <c r="J36" s="29">
        <v>95</v>
      </c>
    </row>
    <row r="37" spans="2:10" x14ac:dyDescent="0.25">
      <c r="B37" s="14" t="s">
        <v>14</v>
      </c>
      <c r="C37" s="14">
        <v>14.43</v>
      </c>
      <c r="D37" s="14" t="s">
        <v>112</v>
      </c>
      <c r="E37" s="29" t="s">
        <v>43</v>
      </c>
      <c r="I37" s="29" t="s">
        <v>122</v>
      </c>
      <c r="J37" s="29">
        <v>1</v>
      </c>
    </row>
    <row r="38" spans="2:10" x14ac:dyDescent="0.25">
      <c r="B38" s="14" t="s">
        <v>15</v>
      </c>
      <c r="C38" s="14">
        <v>17.920000000000002</v>
      </c>
      <c r="D38" s="14" t="s">
        <v>112</v>
      </c>
      <c r="E38" s="29" t="s">
        <v>43</v>
      </c>
      <c r="I38" s="29" t="s">
        <v>123</v>
      </c>
      <c r="J38" s="29">
        <v>1</v>
      </c>
    </row>
    <row r="39" spans="2:10" x14ac:dyDescent="0.25">
      <c r="B39" s="14" t="s">
        <v>16</v>
      </c>
      <c r="C39" s="14">
        <v>4.37</v>
      </c>
      <c r="D39" s="14" t="s">
        <v>112</v>
      </c>
      <c r="E39" s="29" t="s">
        <v>43</v>
      </c>
      <c r="I39" s="29" t="s">
        <v>124</v>
      </c>
      <c r="J39" s="29">
        <v>45</v>
      </c>
    </row>
    <row r="40" spans="2:10" x14ac:dyDescent="0.25">
      <c r="B40" s="14" t="s">
        <v>18</v>
      </c>
      <c r="C40" s="14">
        <v>35.909999999999997</v>
      </c>
      <c r="D40" s="14" t="s">
        <v>112</v>
      </c>
      <c r="E40" s="29" t="s">
        <v>43</v>
      </c>
      <c r="I40" s="29" t="s">
        <v>125</v>
      </c>
      <c r="J40" s="29">
        <v>7</v>
      </c>
    </row>
    <row r="41" spans="2:10" x14ac:dyDescent="0.25">
      <c r="B41" s="14" t="s">
        <v>19</v>
      </c>
      <c r="C41" s="14">
        <v>10.039999999999999</v>
      </c>
      <c r="D41" s="14" t="s">
        <v>112</v>
      </c>
      <c r="E41" s="29" t="s">
        <v>43</v>
      </c>
      <c r="I41" s="29" t="s">
        <v>126</v>
      </c>
      <c r="J41" s="29">
        <v>2</v>
      </c>
    </row>
    <row r="42" spans="2:10" x14ac:dyDescent="0.25">
      <c r="B42" s="14" t="s">
        <v>5</v>
      </c>
      <c r="C42" s="14">
        <v>28.09</v>
      </c>
      <c r="D42" s="14" t="s">
        <v>112</v>
      </c>
      <c r="E42" s="29" t="s">
        <v>43</v>
      </c>
      <c r="I42" s="29" t="s">
        <v>127</v>
      </c>
      <c r="J42" s="29">
        <v>3</v>
      </c>
    </row>
    <row r="43" spans="2:10" x14ac:dyDescent="0.25">
      <c r="B43" s="14" t="s">
        <v>18</v>
      </c>
      <c r="C43" s="14">
        <v>37.36</v>
      </c>
      <c r="D43" s="14" t="s">
        <v>112</v>
      </c>
      <c r="E43" s="29" t="s">
        <v>43</v>
      </c>
      <c r="I43" s="29" t="s">
        <v>128</v>
      </c>
      <c r="J43" s="29">
        <v>13</v>
      </c>
    </row>
    <row r="44" spans="2:10" x14ac:dyDescent="0.25">
      <c r="B44" s="14" t="s">
        <v>19</v>
      </c>
      <c r="C44" s="14">
        <v>9.91</v>
      </c>
      <c r="D44" s="14" t="s">
        <v>112</v>
      </c>
      <c r="E44" s="29" t="s">
        <v>43</v>
      </c>
      <c r="I44" s="29" t="s">
        <v>129</v>
      </c>
      <c r="J44" s="29">
        <v>11</v>
      </c>
    </row>
    <row r="45" spans="2:10" x14ac:dyDescent="0.25">
      <c r="B45" s="14" t="s">
        <v>13</v>
      </c>
      <c r="C45" s="14">
        <v>14.43</v>
      </c>
      <c r="D45" s="14" t="s">
        <v>112</v>
      </c>
      <c r="E45" s="29" t="s">
        <v>43</v>
      </c>
      <c r="I45" s="29" t="s">
        <v>130</v>
      </c>
      <c r="J45" s="29">
        <v>3</v>
      </c>
    </row>
    <row r="46" spans="2:10" x14ac:dyDescent="0.25">
      <c r="B46" s="14" t="s">
        <v>20</v>
      </c>
      <c r="C46" s="14">
        <v>14.43</v>
      </c>
      <c r="D46" s="14" t="s">
        <v>112</v>
      </c>
      <c r="E46" s="29" t="s">
        <v>43</v>
      </c>
    </row>
    <row r="47" spans="2:10" x14ac:dyDescent="0.25">
      <c r="B47" s="14" t="s">
        <v>15</v>
      </c>
      <c r="C47" s="14">
        <v>17.920000000000002</v>
      </c>
      <c r="D47" s="14" t="s">
        <v>112</v>
      </c>
      <c r="E47" s="29" t="s">
        <v>43</v>
      </c>
    </row>
    <row r="48" spans="2:10" x14ac:dyDescent="0.25">
      <c r="B48" s="14" t="s">
        <v>16</v>
      </c>
      <c r="C48" s="14">
        <v>4.37</v>
      </c>
      <c r="D48" s="14" t="s">
        <v>112</v>
      </c>
      <c r="E48" s="29" t="s">
        <v>43</v>
      </c>
    </row>
    <row r="49" spans="2:5" ht="31.5" x14ac:dyDescent="0.25">
      <c r="B49" s="14" t="s">
        <v>82</v>
      </c>
      <c r="C49" s="14">
        <v>33</v>
      </c>
      <c r="D49" s="14" t="s">
        <v>113</v>
      </c>
      <c r="E49" s="32" t="s">
        <v>81</v>
      </c>
    </row>
    <row r="50" spans="2:5" x14ac:dyDescent="0.25">
      <c r="B50" s="33" t="s">
        <v>83</v>
      </c>
      <c r="C50" s="35">
        <f>SUM(C30:C48)</f>
        <v>259.33</v>
      </c>
      <c r="D50" s="52" t="s">
        <v>87</v>
      </c>
      <c r="E50" s="52"/>
    </row>
    <row r="51" spans="2:5" x14ac:dyDescent="0.25">
      <c r="B51" s="37"/>
      <c r="C51" s="38"/>
      <c r="D51" s="38"/>
      <c r="E51" s="38"/>
    </row>
    <row r="52" spans="2:5" x14ac:dyDescent="0.25">
      <c r="B52" s="37"/>
      <c r="C52" s="38"/>
      <c r="D52" s="38"/>
      <c r="E52" s="38"/>
    </row>
    <row r="53" spans="2:5" x14ac:dyDescent="0.25">
      <c r="B53" s="37"/>
      <c r="C53" s="38"/>
      <c r="D53" s="38"/>
      <c r="E53" s="38"/>
    </row>
    <row r="54" spans="2:5" x14ac:dyDescent="0.25">
      <c r="B54" s="33" t="s">
        <v>86</v>
      </c>
      <c r="C54" s="35">
        <f>+C50</f>
        <v>259.33</v>
      </c>
      <c r="D54" s="52" t="s">
        <v>89</v>
      </c>
      <c r="E54" s="52"/>
    </row>
    <row r="55" spans="2:5" x14ac:dyDescent="0.25">
      <c r="B55" s="37"/>
      <c r="C55" s="38"/>
      <c r="D55" s="38"/>
      <c r="E55" s="38"/>
    </row>
    <row r="56" spans="2:5" x14ac:dyDescent="0.25">
      <c r="B56" s="37"/>
      <c r="C56" s="38"/>
      <c r="D56" s="38"/>
      <c r="E56" s="38"/>
    </row>
    <row r="57" spans="2:5" x14ac:dyDescent="0.25">
      <c r="B57" s="37"/>
      <c r="C57" s="38"/>
      <c r="D57" s="38"/>
      <c r="E57" s="38"/>
    </row>
    <row r="58" spans="2:5" x14ac:dyDescent="0.25">
      <c r="B58" s="33" t="s">
        <v>93</v>
      </c>
      <c r="C58" s="35">
        <f>+C54</f>
        <v>259.33</v>
      </c>
      <c r="D58" s="52" t="s">
        <v>94</v>
      </c>
      <c r="E58" s="52"/>
    </row>
    <row r="59" spans="2:5" x14ac:dyDescent="0.25">
      <c r="B59" s="37"/>
      <c r="C59" s="38"/>
      <c r="D59" s="38"/>
      <c r="E59" s="38"/>
    </row>
    <row r="60" spans="2:5" x14ac:dyDescent="0.25">
      <c r="B60" s="37"/>
      <c r="C60" s="38"/>
      <c r="D60" s="38"/>
      <c r="E60" s="38"/>
    </row>
    <row r="61" spans="2:5" x14ac:dyDescent="0.25">
      <c r="B61" s="37"/>
      <c r="C61" s="38"/>
      <c r="D61" s="38"/>
      <c r="E61" s="38"/>
    </row>
    <row r="62" spans="2:5" x14ac:dyDescent="0.25">
      <c r="B62" s="55" t="s">
        <v>40</v>
      </c>
      <c r="C62" s="55"/>
      <c r="D62" s="55"/>
      <c r="E62" s="55"/>
    </row>
    <row r="63" spans="2:5" ht="31.5" x14ac:dyDescent="0.25">
      <c r="B63" s="3" t="s">
        <v>0</v>
      </c>
      <c r="C63" s="4" t="s">
        <v>3</v>
      </c>
      <c r="D63" s="5" t="s">
        <v>111</v>
      </c>
      <c r="E63" s="6" t="s">
        <v>42</v>
      </c>
    </row>
    <row r="64" spans="2:5" x14ac:dyDescent="0.25">
      <c r="B64" s="14" t="s">
        <v>22</v>
      </c>
      <c r="C64" s="14">
        <v>3.67</v>
      </c>
      <c r="D64" s="14" t="s">
        <v>112</v>
      </c>
      <c r="E64" s="29" t="s">
        <v>44</v>
      </c>
    </row>
    <row r="65" spans="2:5" x14ac:dyDescent="0.25">
      <c r="B65" s="14" t="s">
        <v>23</v>
      </c>
      <c r="C65" s="14">
        <v>3.54</v>
      </c>
      <c r="D65" s="14" t="s">
        <v>112</v>
      </c>
      <c r="E65" s="29" t="s">
        <v>44</v>
      </c>
    </row>
    <row r="66" spans="2:5" x14ac:dyDescent="0.25">
      <c r="B66" s="14" t="s">
        <v>24</v>
      </c>
      <c r="C66" s="14">
        <v>3.54</v>
      </c>
      <c r="D66" s="14" t="s">
        <v>112</v>
      </c>
      <c r="E66" s="29" t="s">
        <v>44</v>
      </c>
    </row>
    <row r="67" spans="2:5" x14ac:dyDescent="0.25">
      <c r="B67" s="14" t="s">
        <v>26</v>
      </c>
      <c r="C67" s="14">
        <v>10.119999999999999</v>
      </c>
      <c r="D67" s="14" t="s">
        <v>112</v>
      </c>
      <c r="E67" s="29" t="s">
        <v>44</v>
      </c>
    </row>
    <row r="68" spans="2:5" x14ac:dyDescent="0.25">
      <c r="B68" s="14" t="s">
        <v>27</v>
      </c>
      <c r="C68" s="14">
        <v>7.82</v>
      </c>
      <c r="D68" s="14" t="s">
        <v>112</v>
      </c>
      <c r="E68" s="29" t="s">
        <v>44</v>
      </c>
    </row>
    <row r="69" spans="2:5" x14ac:dyDescent="0.25">
      <c r="B69" s="14" t="s">
        <v>28</v>
      </c>
      <c r="C69" s="14">
        <v>1.57</v>
      </c>
      <c r="D69" s="14" t="s">
        <v>112</v>
      </c>
      <c r="E69" s="29" t="s">
        <v>44</v>
      </c>
    </row>
    <row r="70" spans="2:5" x14ac:dyDescent="0.25">
      <c r="B70" s="14" t="s">
        <v>29</v>
      </c>
      <c r="C70" s="14">
        <v>1.75</v>
      </c>
      <c r="D70" s="14" t="s">
        <v>112</v>
      </c>
      <c r="E70" s="29" t="s">
        <v>44</v>
      </c>
    </row>
    <row r="71" spans="2:5" x14ac:dyDescent="0.25">
      <c r="B71" s="14" t="s">
        <v>17</v>
      </c>
      <c r="C71" s="14">
        <v>1.67</v>
      </c>
      <c r="D71" s="14" t="s">
        <v>112</v>
      </c>
      <c r="E71" s="29" t="s">
        <v>44</v>
      </c>
    </row>
    <row r="72" spans="2:5" x14ac:dyDescent="0.25">
      <c r="B72" s="14" t="s">
        <v>31</v>
      </c>
      <c r="C72" s="14">
        <v>1.77</v>
      </c>
      <c r="D72" s="14" t="s">
        <v>112</v>
      </c>
      <c r="E72" s="29" t="s">
        <v>44</v>
      </c>
    </row>
    <row r="73" spans="2:5" x14ac:dyDescent="0.25">
      <c r="B73" s="14" t="s">
        <v>7</v>
      </c>
      <c r="C73" s="14">
        <v>2.12</v>
      </c>
      <c r="D73" s="14" t="s">
        <v>112</v>
      </c>
      <c r="E73" s="29" t="s">
        <v>44</v>
      </c>
    </row>
    <row r="74" spans="2:5" x14ac:dyDescent="0.25">
      <c r="B74" s="14" t="s">
        <v>11</v>
      </c>
      <c r="C74" s="14">
        <v>16.170000000000002</v>
      </c>
      <c r="D74" s="14" t="s">
        <v>112</v>
      </c>
      <c r="E74" s="29" t="s">
        <v>44</v>
      </c>
    </row>
    <row r="75" spans="2:5" x14ac:dyDescent="0.25">
      <c r="B75" s="14" t="s">
        <v>26</v>
      </c>
      <c r="C75" s="14">
        <v>29.79</v>
      </c>
      <c r="D75" s="14" t="s">
        <v>112</v>
      </c>
      <c r="E75" s="29" t="s">
        <v>44</v>
      </c>
    </row>
    <row r="76" spans="2:5" x14ac:dyDescent="0.25">
      <c r="B76" s="14" t="s">
        <v>21</v>
      </c>
      <c r="C76" s="14">
        <v>16.329999999999998</v>
      </c>
      <c r="D76" s="14" t="s">
        <v>112</v>
      </c>
      <c r="E76" s="29" t="s">
        <v>43</v>
      </c>
    </row>
    <row r="77" spans="2:5" x14ac:dyDescent="0.25">
      <c r="B77" s="14" t="s">
        <v>13</v>
      </c>
      <c r="C77" s="14">
        <v>13.58</v>
      </c>
      <c r="D77" s="14" t="s">
        <v>112</v>
      </c>
      <c r="E77" s="29" t="s">
        <v>43</v>
      </c>
    </row>
    <row r="78" spans="2:5" x14ac:dyDescent="0.25">
      <c r="B78" s="14" t="s">
        <v>20</v>
      </c>
      <c r="C78" s="14">
        <v>13.58</v>
      </c>
      <c r="D78" s="14" t="s">
        <v>112</v>
      </c>
      <c r="E78" s="29" t="s">
        <v>43</v>
      </c>
    </row>
    <row r="79" spans="2:5" x14ac:dyDescent="0.25">
      <c r="B79" s="14" t="s">
        <v>2</v>
      </c>
      <c r="C79" s="14">
        <v>11.65</v>
      </c>
      <c r="D79" s="14" t="s">
        <v>112</v>
      </c>
      <c r="E79" s="29" t="s">
        <v>43</v>
      </c>
    </row>
    <row r="80" spans="2:5" x14ac:dyDescent="0.25">
      <c r="B80" s="14" t="s">
        <v>25</v>
      </c>
      <c r="C80" s="14">
        <v>17.98</v>
      </c>
      <c r="D80" s="14" t="s">
        <v>112</v>
      </c>
      <c r="E80" s="29" t="s">
        <v>43</v>
      </c>
    </row>
    <row r="81" spans="2:5" x14ac:dyDescent="0.25">
      <c r="B81" s="14" t="s">
        <v>16</v>
      </c>
      <c r="C81" s="14">
        <v>6.93</v>
      </c>
      <c r="D81" s="14" t="s">
        <v>112</v>
      </c>
      <c r="E81" s="29" t="s">
        <v>43</v>
      </c>
    </row>
    <row r="82" spans="2:5" x14ac:dyDescent="0.25">
      <c r="B82" s="14" t="s">
        <v>30</v>
      </c>
      <c r="C82" s="14">
        <v>17.13</v>
      </c>
      <c r="D82" s="14" t="s">
        <v>112</v>
      </c>
      <c r="E82" s="29" t="s">
        <v>43</v>
      </c>
    </row>
    <row r="83" spans="2:5" x14ac:dyDescent="0.25">
      <c r="B83" s="14" t="s">
        <v>5</v>
      </c>
      <c r="C83" s="14">
        <v>29.79</v>
      </c>
      <c r="D83" s="14" t="s">
        <v>112</v>
      </c>
      <c r="E83" s="29" t="s">
        <v>43</v>
      </c>
    </row>
    <row r="84" spans="2:5" x14ac:dyDescent="0.25">
      <c r="B84" s="14" t="s">
        <v>19</v>
      </c>
      <c r="C84" s="14">
        <v>13.96</v>
      </c>
      <c r="D84" s="14" t="s">
        <v>112</v>
      </c>
      <c r="E84" s="29" t="s">
        <v>43</v>
      </c>
    </row>
    <row r="85" spans="2:5" x14ac:dyDescent="0.25">
      <c r="B85" s="14" t="s">
        <v>18</v>
      </c>
      <c r="C85" s="14">
        <v>46.85</v>
      </c>
      <c r="D85" s="14" t="s">
        <v>112</v>
      </c>
      <c r="E85" s="29" t="s">
        <v>43</v>
      </c>
    </row>
    <row r="86" spans="2:5" ht="31.5" x14ac:dyDescent="0.25">
      <c r="B86" s="44" t="s">
        <v>98</v>
      </c>
      <c r="C86" s="14">
        <v>50.48</v>
      </c>
      <c r="D86" s="14" t="s">
        <v>113</v>
      </c>
      <c r="E86" s="32" t="s">
        <v>81</v>
      </c>
    </row>
    <row r="87" spans="2:5" x14ac:dyDescent="0.25">
      <c r="B87" s="33" t="s">
        <v>99</v>
      </c>
      <c r="C87" s="35">
        <f>SUM(C64:C85)</f>
        <v>271.31</v>
      </c>
      <c r="D87" s="52" t="s">
        <v>102</v>
      </c>
      <c r="E87" s="52"/>
    </row>
    <row r="88" spans="2:5" x14ac:dyDescent="0.25">
      <c r="B88" s="37"/>
      <c r="C88" s="38"/>
      <c r="D88" s="38"/>
      <c r="E88" s="38"/>
    </row>
    <row r="89" spans="2:5" x14ac:dyDescent="0.25">
      <c r="B89" s="37"/>
      <c r="C89" s="38"/>
      <c r="D89" s="38"/>
      <c r="E89" s="38"/>
    </row>
    <row r="90" spans="2:5" x14ac:dyDescent="0.25">
      <c r="B90" s="37"/>
      <c r="C90" s="38"/>
      <c r="D90" s="38"/>
      <c r="E90" s="38"/>
    </row>
    <row r="92" spans="2:5" x14ac:dyDescent="0.25">
      <c r="B92" s="33" t="s">
        <v>103</v>
      </c>
      <c r="C92" s="35">
        <f>+C87+C58+C54+C50+C24</f>
        <v>1171.3899999999999</v>
      </c>
      <c r="D92" s="52" t="s">
        <v>104</v>
      </c>
      <c r="E92" s="52"/>
    </row>
    <row r="93" spans="2:5" x14ac:dyDescent="0.25">
      <c r="B93" s="37"/>
      <c r="C93" s="38"/>
      <c r="D93" s="38"/>
      <c r="E93" s="38"/>
    </row>
    <row r="94" spans="2:5" x14ac:dyDescent="0.25">
      <c r="B94" s="37"/>
      <c r="C94" s="38"/>
      <c r="D94" s="38"/>
      <c r="E94" s="38"/>
    </row>
    <row r="95" spans="2:5" x14ac:dyDescent="0.25">
      <c r="B95" s="37"/>
      <c r="C95" s="38"/>
      <c r="D95" s="38"/>
      <c r="E95" s="38"/>
    </row>
    <row r="98" spans="2:5" x14ac:dyDescent="0.25">
      <c r="B98" s="54" t="s">
        <v>114</v>
      </c>
      <c r="C98" s="54"/>
      <c r="D98" s="54"/>
      <c r="E98" s="54"/>
    </row>
  </sheetData>
  <mergeCells count="13">
    <mergeCell ref="G29:J29"/>
    <mergeCell ref="H28:I28"/>
    <mergeCell ref="D58:E58"/>
    <mergeCell ref="B62:E62"/>
    <mergeCell ref="D87:E87"/>
    <mergeCell ref="D92:E92"/>
    <mergeCell ref="B98:E98"/>
    <mergeCell ref="A1:B2"/>
    <mergeCell ref="B13:E13"/>
    <mergeCell ref="D24:E24"/>
    <mergeCell ref="B28:E28"/>
    <mergeCell ref="D50:E50"/>
    <mergeCell ref="D54:E5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selection activeCell="G6" sqref="G6"/>
    </sheetView>
  </sheetViews>
  <sheetFormatPr baseColWidth="10" defaultRowHeight="15.75" x14ac:dyDescent="0.25"/>
  <cols>
    <col min="1" max="1" width="36.25" customWidth="1"/>
    <col min="2" max="2" width="21.875" bestFit="1" customWidth="1"/>
    <col min="5" max="5" width="11.625" style="19" bestFit="1" customWidth="1"/>
    <col min="6" max="6" width="14.125" style="10" bestFit="1" customWidth="1"/>
  </cols>
  <sheetData>
    <row r="1" spans="1:6" x14ac:dyDescent="0.25">
      <c r="A1" t="s">
        <v>58</v>
      </c>
      <c r="B1" t="s">
        <v>59</v>
      </c>
    </row>
    <row r="3" spans="1:6" x14ac:dyDescent="0.25">
      <c r="A3" s="9" t="s">
        <v>47</v>
      </c>
      <c r="B3" s="9" t="s">
        <v>48</v>
      </c>
      <c r="C3" s="9" t="s">
        <v>49</v>
      </c>
      <c r="D3" s="9" t="s">
        <v>50</v>
      </c>
      <c r="E3" s="18" t="s">
        <v>57</v>
      </c>
      <c r="F3" s="18" t="s">
        <v>60</v>
      </c>
    </row>
    <row r="4" spans="1:6" ht="31.5" x14ac:dyDescent="0.25">
      <c r="A4" s="16" t="s">
        <v>46</v>
      </c>
      <c r="B4" s="9" t="s">
        <v>32</v>
      </c>
      <c r="C4" s="9">
        <f>+'RDC+Niv Courants + Penthouse'!C12+'RDC+Niv Courants + Penthouse'!C13+'RDC+Niv Courants + Penthouse'!C14+'RDC+Niv Courants + Penthouse'!C15+'RDC+Niv Courants + Penthouse'!C16</f>
        <v>82.61</v>
      </c>
      <c r="D4" s="1"/>
      <c r="E4" s="20">
        <v>13000</v>
      </c>
      <c r="F4" s="20">
        <f>+E4*C4</f>
        <v>1073930</v>
      </c>
    </row>
    <row r="5" spans="1:6" ht="31.5" x14ac:dyDescent="0.25">
      <c r="A5" s="16" t="s">
        <v>51</v>
      </c>
      <c r="B5" s="9" t="s">
        <v>32</v>
      </c>
      <c r="C5" s="9">
        <f>+'RDC+Niv Courants + Penthouse'!C8+'RDC+Niv Courants + Penthouse'!C9+'RDC+Niv Courants + Penthouse'!C10+'RDC+Niv Courants + Penthouse'!C11</f>
        <v>39.479999999999997</v>
      </c>
      <c r="D5" s="1"/>
      <c r="E5" s="20">
        <v>14000</v>
      </c>
      <c r="F5" s="20">
        <f>+E5*C5</f>
        <v>552720</v>
      </c>
    </row>
    <row r="6" spans="1:6" ht="31.5" x14ac:dyDescent="0.25">
      <c r="A6" s="16" t="s">
        <v>46</v>
      </c>
      <c r="B6" s="15" t="s">
        <v>52</v>
      </c>
      <c r="C6" s="9">
        <f>+'RDC+Niv Courants + Penthouse'!C26+'RDC+Niv Courants + Penthouse'!C27+'RDC+Niv Courants + Penthouse'!C28+'RDC+Niv Courants + Penthouse'!C29+'RDC+Niv Courants + Penthouse'!C30+'RDC+Niv Courants + Penthouse'!C31+'RDC+Niv Courants + Penthouse'!C32+'RDC+Niv Courants + Penthouse'!C33+'RDC+Niv Courants + Penthouse'!C34+'RDC+Niv Courants + Penthouse'!C35+'RDC+Niv Courants + Penthouse'!C36+'RDC+Niv Courants + Penthouse'!C37+'RDC+Niv Courants + Penthouse'!C38</f>
        <v>223.61</v>
      </c>
      <c r="D6" s="1"/>
      <c r="E6" s="20">
        <v>13000</v>
      </c>
      <c r="F6" s="20">
        <f>+E6*C6</f>
        <v>2906930</v>
      </c>
    </row>
    <row r="7" spans="1:6" ht="31.5" x14ac:dyDescent="0.25">
      <c r="A7" s="16" t="s">
        <v>51</v>
      </c>
      <c r="B7" s="15" t="s">
        <v>52</v>
      </c>
      <c r="C7" s="9">
        <f>+'RDC+Niv Courants + Penthouse'!C20+'RDC+Niv Courants + Penthouse'!C21+'RDC+Niv Courants + Penthouse'!C22+'RDC+Niv Courants + Penthouse'!C23+'RDC+Niv Courants + Penthouse'!C24+'RDC+Niv Courants + Penthouse'!C25</f>
        <v>35.72</v>
      </c>
      <c r="D7" s="1"/>
      <c r="E7" s="20">
        <v>14000</v>
      </c>
      <c r="F7" s="20">
        <f>+E7*C7</f>
        <v>500080</v>
      </c>
    </row>
    <row r="8" spans="1:6" ht="31.5" x14ac:dyDescent="0.25">
      <c r="A8" s="17" t="s">
        <v>53</v>
      </c>
      <c r="B8" s="15" t="s">
        <v>52</v>
      </c>
      <c r="C8" s="1"/>
      <c r="D8" s="9">
        <f>+'RDC+Niv Courants + Penthouse'!D39</f>
        <v>33</v>
      </c>
      <c r="E8" s="20">
        <v>6500</v>
      </c>
      <c r="F8" s="20">
        <f>+E8*D8</f>
        <v>214500</v>
      </c>
    </row>
    <row r="9" spans="1:6" ht="31.5" x14ac:dyDescent="0.25">
      <c r="A9" s="16" t="s">
        <v>46</v>
      </c>
      <c r="B9" s="15" t="s">
        <v>54</v>
      </c>
      <c r="C9" s="9">
        <v>223.61</v>
      </c>
      <c r="D9" s="1"/>
      <c r="E9" s="20">
        <v>13000</v>
      </c>
      <c r="F9" s="20">
        <f>+E9*C9</f>
        <v>2906930</v>
      </c>
    </row>
    <row r="10" spans="1:6" ht="31.5" x14ac:dyDescent="0.25">
      <c r="A10" s="16" t="s">
        <v>51</v>
      </c>
      <c r="B10" s="15" t="s">
        <v>54</v>
      </c>
      <c r="C10" s="9">
        <v>35.72</v>
      </c>
      <c r="D10" s="1"/>
      <c r="E10" s="20">
        <v>14000</v>
      </c>
      <c r="F10" s="20">
        <f>+E10*C10</f>
        <v>500080</v>
      </c>
    </row>
    <row r="11" spans="1:6" ht="31.5" x14ac:dyDescent="0.25">
      <c r="A11" s="17" t="s">
        <v>53</v>
      </c>
      <c r="B11" s="15" t="s">
        <v>54</v>
      </c>
      <c r="C11" s="1"/>
      <c r="D11" s="9">
        <v>33</v>
      </c>
      <c r="E11" s="20">
        <v>6500</v>
      </c>
      <c r="F11" s="20">
        <f>+E11*D11</f>
        <v>214500</v>
      </c>
    </row>
    <row r="12" spans="1:6" ht="31.5" x14ac:dyDescent="0.25">
      <c r="A12" s="16" t="s">
        <v>46</v>
      </c>
      <c r="B12" s="15" t="s">
        <v>55</v>
      </c>
      <c r="C12" s="9">
        <v>223.61</v>
      </c>
      <c r="D12" s="1"/>
      <c r="E12" s="20">
        <v>13000</v>
      </c>
      <c r="F12" s="20">
        <f>+E12*C12</f>
        <v>2906930</v>
      </c>
    </row>
    <row r="13" spans="1:6" ht="31.5" x14ac:dyDescent="0.25">
      <c r="A13" s="16" t="s">
        <v>51</v>
      </c>
      <c r="B13" s="15" t="s">
        <v>55</v>
      </c>
      <c r="C13" s="9">
        <v>35.72</v>
      </c>
      <c r="D13" s="1"/>
      <c r="E13" s="20">
        <v>14000</v>
      </c>
      <c r="F13" s="20">
        <f>+E13*C13</f>
        <v>500080</v>
      </c>
    </row>
    <row r="14" spans="1:6" ht="31.5" x14ac:dyDescent="0.25">
      <c r="A14" s="17" t="s">
        <v>53</v>
      </c>
      <c r="B14" s="15" t="s">
        <v>55</v>
      </c>
      <c r="C14" s="1"/>
      <c r="D14" s="9">
        <v>33</v>
      </c>
      <c r="E14" s="20">
        <v>6500</v>
      </c>
      <c r="F14" s="20">
        <f>+E14*D14</f>
        <v>214500</v>
      </c>
    </row>
    <row r="15" spans="1:6" ht="31.5" x14ac:dyDescent="0.25">
      <c r="A15" s="16" t="s">
        <v>46</v>
      </c>
      <c r="B15" s="15" t="s">
        <v>56</v>
      </c>
      <c r="C15" s="9">
        <f>+'RDC+Niv Courants + Penthouse'!C98+'RDC+Niv Courants + Penthouse'!C99+'RDC+Niv Courants + Penthouse'!C100+'RDC+Niv Courants + Penthouse'!C101+'RDC+Niv Courants + Penthouse'!C102+'RDC+Niv Courants + Penthouse'!C103+'RDC+Niv Courants + Penthouse'!C104+'RDC+Niv Courants + Penthouse'!C105+'RDC+Niv Courants + Penthouse'!C106+'RDC+Niv Courants + Penthouse'!C107</f>
        <v>187.77999999999997</v>
      </c>
      <c r="D15" s="1"/>
      <c r="E15" s="20">
        <v>13000</v>
      </c>
      <c r="F15" s="20">
        <f>+E15*C15</f>
        <v>2441139.9999999995</v>
      </c>
    </row>
    <row r="16" spans="1:6" ht="31.5" x14ac:dyDescent="0.25">
      <c r="A16" s="16" t="s">
        <v>51</v>
      </c>
      <c r="B16" s="15" t="s">
        <v>56</v>
      </c>
      <c r="C16" s="9">
        <f>+'RDC+Niv Courants + Penthouse'!C86+'RDC+Niv Courants + Penthouse'!C87+'RDC+Niv Courants + Penthouse'!C88+'RDC+Niv Courants + Penthouse'!C89+'RDC+Niv Courants + Penthouse'!C90+'RDC+Niv Courants + Penthouse'!C91+'RDC+Niv Courants + Penthouse'!C92+'RDC+Niv Courants + Penthouse'!C93+'RDC+Niv Courants + Penthouse'!C94+'RDC+Niv Courants + Penthouse'!C95+'RDC+Niv Courants + Penthouse'!C96+'RDC+Niv Courants + Penthouse'!C97</f>
        <v>83.53</v>
      </c>
      <c r="D16" s="1"/>
      <c r="E16" s="20">
        <v>14000</v>
      </c>
      <c r="F16" s="20">
        <f>+E16*C16</f>
        <v>1169420</v>
      </c>
    </row>
    <row r="17" spans="1:6" ht="31.5" x14ac:dyDescent="0.25">
      <c r="A17" s="17" t="s">
        <v>53</v>
      </c>
      <c r="B17" s="15" t="s">
        <v>56</v>
      </c>
      <c r="C17" s="1"/>
      <c r="D17" s="9">
        <f>+'RDC+Niv Courants + Penthouse'!D107+'RDC+Niv Courants + Penthouse'!D105+'RDC+Niv Courants + Penthouse'!D102</f>
        <v>50.480000000000004</v>
      </c>
      <c r="E17" s="20">
        <v>6500</v>
      </c>
      <c r="F17" s="20">
        <f>+E17*D17</f>
        <v>328120</v>
      </c>
    </row>
    <row r="18" spans="1:6" x14ac:dyDescent="0.25">
      <c r="E18" s="21" t="s">
        <v>61</v>
      </c>
      <c r="F18" s="22">
        <f>SUM(F4:F17)</f>
        <v>16429860</v>
      </c>
    </row>
    <row r="19" spans="1:6" x14ac:dyDescent="0.25">
      <c r="E19" s="21" t="s">
        <v>62</v>
      </c>
      <c r="F19" s="23">
        <f>+F18*18%</f>
        <v>2957374.8</v>
      </c>
    </row>
    <row r="20" spans="1:6" x14ac:dyDescent="0.25">
      <c r="E20" s="21" t="s">
        <v>63</v>
      </c>
      <c r="F20" s="22">
        <f>+F19+F18</f>
        <v>19387234.800000001</v>
      </c>
    </row>
  </sheetData>
  <pageMargins left="0.23622047244094491" right="0.23622047244094491" top="0.74803149606299213" bottom="0.74803149606299213" header="0.31496062992125984" footer="0.31496062992125984"/>
  <pageSetup paperSize="9" scale="91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H9" sqref="H9"/>
    </sheetView>
  </sheetViews>
  <sheetFormatPr baseColWidth="10" defaultRowHeight="15.75" x14ac:dyDescent="0.25"/>
  <cols>
    <col min="1" max="1" width="36.25" customWidth="1"/>
    <col min="2" max="2" width="21.875" bestFit="1" customWidth="1"/>
  </cols>
  <sheetData>
    <row r="1" spans="1:5" x14ac:dyDescent="0.25">
      <c r="A1" s="57" t="s">
        <v>65</v>
      </c>
      <c r="B1" s="57"/>
      <c r="C1" s="57"/>
      <c r="D1" s="57"/>
      <c r="E1" s="57"/>
    </row>
    <row r="3" spans="1:5" x14ac:dyDescent="0.25">
      <c r="A3" s="25" t="s">
        <v>66</v>
      </c>
      <c r="B3" s="26" t="s">
        <v>59</v>
      </c>
    </row>
    <row r="5" spans="1:5" x14ac:dyDescent="0.25">
      <c r="A5" s="9" t="s">
        <v>47</v>
      </c>
      <c r="B5" s="9" t="s">
        <v>48</v>
      </c>
      <c r="C5" s="9" t="s">
        <v>49</v>
      </c>
      <c r="D5" s="9" t="s">
        <v>50</v>
      </c>
    </row>
    <row r="6" spans="1:5" ht="31.5" x14ac:dyDescent="0.25">
      <c r="A6" s="16" t="s">
        <v>46</v>
      </c>
      <c r="B6" s="9" t="s">
        <v>32</v>
      </c>
      <c r="C6" s="9">
        <f>+'RDC+Niv Courants + Penthouse'!C12+'RDC+Niv Courants + Penthouse'!C13+'RDC+Niv Courants + Penthouse'!C14+'RDC+Niv Courants + Penthouse'!C15+'RDC+Niv Courants + Penthouse'!C16</f>
        <v>82.61</v>
      </c>
      <c r="D6" s="1"/>
    </row>
    <row r="7" spans="1:5" ht="31.5" x14ac:dyDescent="0.25">
      <c r="A7" s="16" t="s">
        <v>51</v>
      </c>
      <c r="B7" s="9" t="s">
        <v>32</v>
      </c>
      <c r="C7" s="9">
        <f>+'RDC+Niv Courants + Penthouse'!C8+'RDC+Niv Courants + Penthouse'!C9+'RDC+Niv Courants + Penthouse'!C10+'RDC+Niv Courants + Penthouse'!C11</f>
        <v>39.479999999999997</v>
      </c>
      <c r="D7" s="1"/>
    </row>
    <row r="8" spans="1:5" ht="31.5" x14ac:dyDescent="0.25">
      <c r="A8" s="16" t="s">
        <v>46</v>
      </c>
      <c r="B8" s="15" t="s">
        <v>52</v>
      </c>
      <c r="C8" s="9">
        <f>+'RDC+Niv Courants + Penthouse'!C26+'RDC+Niv Courants + Penthouse'!C27+'RDC+Niv Courants + Penthouse'!C28+'RDC+Niv Courants + Penthouse'!C29+'RDC+Niv Courants + Penthouse'!C30+'RDC+Niv Courants + Penthouse'!C31+'RDC+Niv Courants + Penthouse'!C32+'RDC+Niv Courants + Penthouse'!C33+'RDC+Niv Courants + Penthouse'!C34+'RDC+Niv Courants + Penthouse'!C35+'RDC+Niv Courants + Penthouse'!C36+'RDC+Niv Courants + Penthouse'!C37+'RDC+Niv Courants + Penthouse'!C38</f>
        <v>223.61</v>
      </c>
      <c r="D8" s="1"/>
    </row>
    <row r="9" spans="1:5" ht="31.5" x14ac:dyDescent="0.25">
      <c r="A9" s="16" t="s">
        <v>51</v>
      </c>
      <c r="B9" s="15" t="s">
        <v>52</v>
      </c>
      <c r="C9" s="9">
        <f>+'RDC+Niv Courants + Penthouse'!C20+'RDC+Niv Courants + Penthouse'!C21+'RDC+Niv Courants + Penthouse'!C22+'RDC+Niv Courants + Penthouse'!C23+'RDC+Niv Courants + Penthouse'!C24+'RDC+Niv Courants + Penthouse'!C25</f>
        <v>35.72</v>
      </c>
      <c r="D9" s="1"/>
    </row>
    <row r="10" spans="1:5" ht="31.5" x14ac:dyDescent="0.25">
      <c r="A10" s="17" t="s">
        <v>53</v>
      </c>
      <c r="B10" s="15" t="s">
        <v>52</v>
      </c>
      <c r="C10" s="1"/>
      <c r="D10" s="9">
        <f>+'RDC+Niv Courants + Penthouse'!D39</f>
        <v>33</v>
      </c>
    </row>
    <row r="11" spans="1:5" ht="31.5" x14ac:dyDescent="0.25">
      <c r="A11" s="16" t="s">
        <v>46</v>
      </c>
      <c r="B11" s="15" t="s">
        <v>54</v>
      </c>
      <c r="C11" s="9">
        <v>223.61</v>
      </c>
      <c r="D11" s="1"/>
    </row>
    <row r="12" spans="1:5" ht="31.5" x14ac:dyDescent="0.25">
      <c r="A12" s="16" t="s">
        <v>51</v>
      </c>
      <c r="B12" s="15" t="s">
        <v>54</v>
      </c>
      <c r="C12" s="9">
        <v>35.72</v>
      </c>
      <c r="D12" s="1"/>
    </row>
    <row r="13" spans="1:5" ht="31.5" x14ac:dyDescent="0.25">
      <c r="A13" s="17" t="s">
        <v>53</v>
      </c>
      <c r="B13" s="15" t="s">
        <v>54</v>
      </c>
      <c r="C13" s="1"/>
      <c r="D13" s="9">
        <v>33</v>
      </c>
    </row>
    <row r="14" spans="1:5" ht="31.5" x14ac:dyDescent="0.25">
      <c r="A14" s="16" t="s">
        <v>46</v>
      </c>
      <c r="B14" s="15" t="s">
        <v>55</v>
      </c>
      <c r="C14" s="9">
        <v>223.61</v>
      </c>
      <c r="D14" s="1"/>
    </row>
    <row r="15" spans="1:5" ht="31.5" x14ac:dyDescent="0.25">
      <c r="A15" s="16" t="s">
        <v>51</v>
      </c>
      <c r="B15" s="15" t="s">
        <v>55</v>
      </c>
      <c r="C15" s="9">
        <v>35.72</v>
      </c>
      <c r="D15" s="1"/>
    </row>
    <row r="16" spans="1:5" ht="31.5" x14ac:dyDescent="0.25">
      <c r="A16" s="17" t="s">
        <v>53</v>
      </c>
      <c r="B16" s="15" t="s">
        <v>55</v>
      </c>
      <c r="C16" s="1"/>
      <c r="D16" s="9">
        <v>33</v>
      </c>
    </row>
    <row r="17" spans="1:4" ht="31.5" x14ac:dyDescent="0.25">
      <c r="A17" s="16" t="s">
        <v>46</v>
      </c>
      <c r="B17" s="15" t="s">
        <v>56</v>
      </c>
      <c r="C17" s="9">
        <f>+'RDC+Niv Courants + Penthouse'!C98+'RDC+Niv Courants + Penthouse'!C99+'RDC+Niv Courants + Penthouse'!C100+'RDC+Niv Courants + Penthouse'!C101+'RDC+Niv Courants + Penthouse'!C102+'RDC+Niv Courants + Penthouse'!C103+'RDC+Niv Courants + Penthouse'!C104+'RDC+Niv Courants + Penthouse'!C105+'RDC+Niv Courants + Penthouse'!C106+'RDC+Niv Courants + Penthouse'!C107</f>
        <v>187.77999999999997</v>
      </c>
      <c r="D17" s="1"/>
    </row>
    <row r="18" spans="1:4" ht="31.5" x14ac:dyDescent="0.25">
      <c r="A18" s="16" t="s">
        <v>51</v>
      </c>
      <c r="B18" s="15" t="s">
        <v>56</v>
      </c>
      <c r="C18" s="9">
        <f>+'RDC+Niv Courants + Penthouse'!C86+'RDC+Niv Courants + Penthouse'!C87+'RDC+Niv Courants + Penthouse'!C88+'RDC+Niv Courants + Penthouse'!C89+'RDC+Niv Courants + Penthouse'!C90+'RDC+Niv Courants + Penthouse'!C91+'RDC+Niv Courants + Penthouse'!C92+'RDC+Niv Courants + Penthouse'!C93+'RDC+Niv Courants + Penthouse'!C94+'RDC+Niv Courants + Penthouse'!C95+'RDC+Niv Courants + Penthouse'!C96+'RDC+Niv Courants + Penthouse'!C97</f>
        <v>83.53</v>
      </c>
      <c r="D18" s="1"/>
    </row>
    <row r="19" spans="1:4" ht="31.5" x14ac:dyDescent="0.25">
      <c r="A19" s="17" t="s">
        <v>53</v>
      </c>
      <c r="B19" s="15" t="s">
        <v>56</v>
      </c>
      <c r="C19" s="1"/>
      <c r="D19" s="9">
        <f>+'RDC+Niv Courants + Penthouse'!D107+'RDC+Niv Courants + Penthouse'!D105+'RDC+Niv Courants + Penthouse'!D102</f>
        <v>50.480000000000004</v>
      </c>
    </row>
    <row r="20" spans="1:4" x14ac:dyDescent="0.25">
      <c r="A20" s="56" t="s">
        <v>64</v>
      </c>
      <c r="B20" s="56"/>
      <c r="C20" s="24">
        <f>SUM(C6:C19)</f>
        <v>1171.3900000000001</v>
      </c>
      <c r="D20" s="24">
        <f>SUM(D6:D19)</f>
        <v>149.48000000000002</v>
      </c>
    </row>
  </sheetData>
  <mergeCells count="2">
    <mergeCell ref="A20:B20"/>
    <mergeCell ref="A1:E1"/>
  </mergeCells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RDC+Niv Courants + Penthouse</vt:lpstr>
      <vt:lpstr>Devis détaillé</vt:lpstr>
      <vt:lpstr>Récap Matériel</vt:lpstr>
      <vt:lpstr>Récap Surfaces Valorisé</vt:lpstr>
      <vt:lpstr>Récap Surface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gnamichael@gmail.com</dc:creator>
  <cp:lastModifiedBy>JAWAD</cp:lastModifiedBy>
  <cp:lastPrinted>2021-04-23T15:21:13Z</cp:lastPrinted>
  <dcterms:created xsi:type="dcterms:W3CDTF">2021-03-22T10:58:34Z</dcterms:created>
  <dcterms:modified xsi:type="dcterms:W3CDTF">2021-04-23T15:31:43Z</dcterms:modified>
</cp:coreProperties>
</file>