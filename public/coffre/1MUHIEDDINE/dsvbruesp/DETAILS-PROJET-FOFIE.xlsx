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WAD\Desktop\PARTAGE ECM\Mr FOFIE\"/>
    </mc:Choice>
  </mc:AlternateContent>
  <bookViews>
    <workbookView xWindow="0" yWindow="0" windowWidth="4080" windowHeight="6855" tabRatio="500" firstSheet="3" activeTab="5"/>
  </bookViews>
  <sheets>
    <sheet name="Feuil1" sheetId="1" r:id="rId1"/>
    <sheet name="Détails Types FP- RDC" sheetId="2" r:id="rId2"/>
    <sheet name="Détails Types FP - Etage 1" sheetId="3" r:id="rId3"/>
    <sheet name="Détails Type FP - Etage 2" sheetId="4" r:id="rId4"/>
    <sheet name="Est. Mat. Par Type FP" sheetId="5" r:id="rId5"/>
    <sheet name="Récap Matériels" sheetId="6" r:id="rId6"/>
  </sheets>
  <definedNames>
    <definedName name="_xlnm.Print_Area" localSheetId="4">'Est. Mat. Par Type FP'!$A$1:$K$34</definedName>
  </definedName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" i="6" l="1"/>
  <c r="C9" i="6"/>
  <c r="C10" i="6"/>
  <c r="D8" i="6"/>
  <c r="D9" i="6"/>
  <c r="D10" i="6"/>
  <c r="E8" i="6"/>
  <c r="E9" i="6"/>
  <c r="E10" i="6"/>
  <c r="F8" i="6"/>
  <c r="F9" i="6"/>
  <c r="B12" i="6"/>
  <c r="B13" i="6"/>
  <c r="C14" i="6"/>
  <c r="D14" i="6"/>
  <c r="G14" i="6"/>
  <c r="B14" i="6"/>
  <c r="C15" i="6"/>
  <c r="D15" i="6"/>
  <c r="G15" i="6"/>
  <c r="B15" i="6"/>
  <c r="C16" i="6"/>
  <c r="D16" i="6"/>
  <c r="G16" i="6"/>
  <c r="B16" i="6"/>
  <c r="B17" i="6"/>
  <c r="B18" i="6"/>
  <c r="B19" i="6"/>
  <c r="B20" i="6"/>
  <c r="B21" i="6"/>
  <c r="B22" i="6"/>
  <c r="B23" i="6"/>
  <c r="B24" i="6"/>
  <c r="B25" i="6"/>
  <c r="B26" i="6"/>
  <c r="B27" i="6"/>
  <c r="I7" i="6"/>
  <c r="H7" i="6"/>
  <c r="G7" i="6"/>
  <c r="F7" i="6"/>
  <c r="E7" i="6"/>
  <c r="D7" i="6"/>
  <c r="C7" i="6"/>
  <c r="K7" i="5"/>
  <c r="J7" i="5"/>
  <c r="I7" i="5"/>
  <c r="H7" i="5"/>
  <c r="G7" i="5"/>
  <c r="F7" i="5"/>
  <c r="E7" i="5"/>
  <c r="E8" i="5"/>
  <c r="E9" i="5"/>
  <c r="E10" i="5"/>
  <c r="E29" i="5"/>
  <c r="F8" i="5"/>
  <c r="F9" i="5"/>
  <c r="F10" i="5"/>
  <c r="F29" i="5"/>
  <c r="G8" i="5"/>
  <c r="G9" i="5"/>
  <c r="G10" i="5"/>
  <c r="G29" i="5"/>
  <c r="H8" i="5"/>
  <c r="H9" i="5"/>
  <c r="H29" i="5"/>
  <c r="E32" i="5"/>
  <c r="C29" i="5"/>
  <c r="C30" i="5"/>
  <c r="E33" i="5"/>
  <c r="E34" i="5"/>
  <c r="J29" i="5"/>
  <c r="I29" i="5"/>
  <c r="K29" i="5"/>
  <c r="C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I16" i="5"/>
  <c r="I15" i="5"/>
  <c r="I14" i="5"/>
  <c r="R17" i="4"/>
  <c r="O17" i="4"/>
  <c r="I17" i="4"/>
  <c r="R32" i="3"/>
  <c r="O32" i="3"/>
  <c r="I32" i="3"/>
  <c r="R25" i="2"/>
  <c r="O25" i="2"/>
  <c r="I25" i="2"/>
  <c r="F16" i="5"/>
  <c r="F15" i="5"/>
  <c r="F14" i="5"/>
  <c r="E16" i="5"/>
  <c r="E15" i="5"/>
  <c r="E14" i="5"/>
  <c r="R21" i="2"/>
  <c r="R20" i="2"/>
  <c r="T25" i="2"/>
  <c r="O13" i="2"/>
  <c r="Q25" i="2"/>
  <c r="N13" i="2"/>
  <c r="N25" i="2"/>
  <c r="K8" i="2"/>
  <c r="K9" i="2"/>
  <c r="K11" i="2"/>
  <c r="K13" i="2"/>
  <c r="K16" i="2"/>
  <c r="K20" i="2"/>
  <c r="K25" i="2"/>
  <c r="H9" i="2"/>
  <c r="H10" i="2"/>
  <c r="H14" i="2"/>
  <c r="H17" i="2"/>
  <c r="H19" i="2"/>
  <c r="H22" i="2"/>
  <c r="H23" i="2"/>
  <c r="H25" i="2"/>
  <c r="E7" i="2"/>
  <c r="E8" i="2"/>
  <c r="E11" i="2"/>
  <c r="E13" i="2"/>
  <c r="E15" i="2"/>
  <c r="E16" i="2"/>
  <c r="E18" i="2"/>
  <c r="E20" i="2"/>
  <c r="E21" i="2"/>
  <c r="E24" i="2"/>
  <c r="E25" i="2"/>
  <c r="Q17" i="4"/>
  <c r="K17" i="4"/>
  <c r="H17" i="4"/>
  <c r="E17" i="4"/>
  <c r="E16" i="4"/>
  <c r="B15" i="4"/>
  <c r="Q15" i="4"/>
  <c r="E15" i="4"/>
  <c r="H14" i="4"/>
  <c r="E13" i="4"/>
  <c r="H12" i="4"/>
  <c r="K11" i="4"/>
  <c r="Q11" i="4"/>
  <c r="E11" i="4"/>
  <c r="E10" i="4"/>
  <c r="H9" i="4"/>
  <c r="K8" i="4"/>
  <c r="T8" i="4"/>
  <c r="E8" i="4"/>
  <c r="T17" i="4"/>
  <c r="N17" i="4"/>
  <c r="T32" i="3"/>
  <c r="Q32" i="3"/>
  <c r="K32" i="3"/>
  <c r="H32" i="3"/>
  <c r="E32" i="3"/>
  <c r="E31" i="3"/>
  <c r="H30" i="3"/>
  <c r="Q29" i="3"/>
  <c r="H29" i="3"/>
  <c r="T28" i="3"/>
  <c r="Q28" i="3"/>
  <c r="E28" i="3"/>
  <c r="E27" i="3"/>
  <c r="E26" i="3"/>
  <c r="Q25" i="3"/>
  <c r="E25" i="3"/>
  <c r="T24" i="3"/>
  <c r="E24" i="3"/>
  <c r="H23" i="3"/>
  <c r="T22" i="3"/>
  <c r="R22" i="3"/>
  <c r="K22" i="3"/>
  <c r="E22" i="3"/>
  <c r="H21" i="3"/>
  <c r="H20" i="3"/>
  <c r="H19" i="3"/>
  <c r="T18" i="3"/>
  <c r="Q18" i="3"/>
  <c r="E18" i="3"/>
  <c r="H17" i="3"/>
  <c r="T16" i="3"/>
  <c r="Q16" i="3"/>
  <c r="E16" i="3"/>
  <c r="H15" i="3"/>
  <c r="T13" i="3"/>
  <c r="H14" i="3"/>
  <c r="Q13" i="3"/>
  <c r="E13" i="3"/>
  <c r="H12" i="3"/>
  <c r="E11" i="3"/>
  <c r="H10" i="3"/>
  <c r="Q9" i="3"/>
  <c r="E9" i="3"/>
  <c r="H8" i="3"/>
  <c r="H7" i="3"/>
  <c r="N32" i="3"/>
  <c r="T21" i="2"/>
  <c r="T20" i="2"/>
  <c r="Q16" i="2"/>
  <c r="Q13" i="2"/>
  <c r="B83" i="1"/>
  <c r="B71" i="1"/>
  <c r="B44" i="1"/>
  <c r="B23" i="1"/>
</calcChain>
</file>

<file path=xl/sharedStrings.xml><?xml version="1.0" encoding="utf-8"?>
<sst xmlns="http://schemas.openxmlformats.org/spreadsheetml/2006/main" count="324" uniqueCount="136">
  <si>
    <t>SOUS SOL</t>
  </si>
  <si>
    <t>HALL</t>
  </si>
  <si>
    <t>Hall</t>
  </si>
  <si>
    <t>CH1</t>
  </si>
  <si>
    <t>SDE CH1</t>
  </si>
  <si>
    <t>CUISINE</t>
  </si>
  <si>
    <t>PERRON</t>
  </si>
  <si>
    <t>JEUX TV</t>
  </si>
  <si>
    <t>ESCALIER 3</t>
  </si>
  <si>
    <t>ESCALIER 2</t>
  </si>
  <si>
    <t>TOILETTE</t>
  </si>
  <si>
    <t>ESCALIER 1</t>
  </si>
  <si>
    <t>PARKING</t>
  </si>
  <si>
    <t>RAMPE D ACCESS</t>
  </si>
  <si>
    <t>ETAGE 1</t>
  </si>
  <si>
    <t>SE</t>
  </si>
  <si>
    <t>BALCON</t>
  </si>
  <si>
    <t>CH 6</t>
  </si>
  <si>
    <t>SE VI</t>
  </si>
  <si>
    <t>ESPACE</t>
  </si>
  <si>
    <t>CH 5</t>
  </si>
  <si>
    <t>SE 5</t>
  </si>
  <si>
    <t>SE 4</t>
  </si>
  <si>
    <t>CH 4</t>
  </si>
  <si>
    <t>SE 3</t>
  </si>
  <si>
    <t>BALCON CH 4</t>
  </si>
  <si>
    <t>BALCON CH 3</t>
  </si>
  <si>
    <t>CH 3</t>
  </si>
  <si>
    <t>SALON FAMILLIAL</t>
  </si>
  <si>
    <t>TERRASSE 2</t>
  </si>
  <si>
    <t>DRESSING</t>
  </si>
  <si>
    <t>DGT</t>
  </si>
  <si>
    <t>DGT 1</t>
  </si>
  <si>
    <t>DGT 2</t>
  </si>
  <si>
    <t>ESCALIER</t>
  </si>
  <si>
    <t>CH PRIN</t>
  </si>
  <si>
    <t>SE PRIN</t>
  </si>
  <si>
    <t>TERRASSE CH P</t>
  </si>
  <si>
    <t>BALCON CIRCU</t>
  </si>
  <si>
    <t>ETAGE 2</t>
  </si>
  <si>
    <t>BAR PRIVE</t>
  </si>
  <si>
    <t>SAS</t>
  </si>
  <si>
    <t>CH7</t>
  </si>
  <si>
    <t xml:space="preserve">BALCON </t>
  </si>
  <si>
    <t>ESCALIER 4</t>
  </si>
  <si>
    <t xml:space="preserve">TOILETTE </t>
  </si>
  <si>
    <t>BUREAU</t>
  </si>
  <si>
    <t>LOCAL TECHNIQUE</t>
  </si>
  <si>
    <t>RDC</t>
  </si>
  <si>
    <t>COURS DE SERVICE</t>
  </si>
  <si>
    <t xml:space="preserve">CUISINE </t>
  </si>
  <si>
    <t>CH 2</t>
  </si>
  <si>
    <t>SAS 1</t>
  </si>
  <si>
    <t>SALLE A MANGER</t>
  </si>
  <si>
    <t>SEJOUR</t>
  </si>
  <si>
    <t>SUITE SEJOUR</t>
  </si>
  <si>
    <t>TERRASSE 1</t>
  </si>
  <si>
    <t>COURS JARDIN</t>
  </si>
  <si>
    <t>SEJOUR PRIVE</t>
  </si>
  <si>
    <t>Total Sous-Sol</t>
  </si>
  <si>
    <t>TERASSE TECHNIQUE</t>
  </si>
  <si>
    <t>Total RDC</t>
  </si>
  <si>
    <t>Total ETAGE 1</t>
  </si>
  <si>
    <t>Total ETAGE 2</t>
  </si>
  <si>
    <t xml:space="preserve">Récapitulatif Surface </t>
  </si>
  <si>
    <t>Projet: FOFIE</t>
  </si>
  <si>
    <t>ECM CI / SIMC CI</t>
  </si>
  <si>
    <t>Etude Estimative - Faux Plafond - Projet FOFIE</t>
  </si>
  <si>
    <t>Récap Surface</t>
  </si>
  <si>
    <t>Faux-plafond BA13 STD</t>
  </si>
  <si>
    <t>Surface (m²)</t>
  </si>
  <si>
    <t>Faux-plafond Hyd</t>
  </si>
  <si>
    <t>Longueur</t>
  </si>
  <si>
    <t>Largeur</t>
  </si>
  <si>
    <t>Corniches Périphériques</t>
  </si>
  <si>
    <t>Caisson Suspendu Rectangle</t>
  </si>
  <si>
    <t>Caisson Suspendu Circulaire</t>
  </si>
  <si>
    <t>Surface</t>
  </si>
  <si>
    <t>Divers</t>
  </si>
  <si>
    <t>Trappes de visites</t>
  </si>
  <si>
    <t>Jouées Verticales</t>
  </si>
  <si>
    <t>Quantité</t>
  </si>
  <si>
    <t>TERRASSE TECHNIQUE</t>
  </si>
  <si>
    <t>FP STD</t>
  </si>
  <si>
    <t>FP HYD</t>
  </si>
  <si>
    <t>Caisson Susp Rectangle</t>
  </si>
  <si>
    <t>Caisson Susp circulaire</t>
  </si>
  <si>
    <t>Corniches (ml)</t>
  </si>
  <si>
    <t>Jouées Vertic. (ml)</t>
  </si>
  <si>
    <t>Trappes: 3</t>
  </si>
  <si>
    <t>Etage 1</t>
  </si>
  <si>
    <t>Total Etage</t>
  </si>
  <si>
    <t>Corniches Périphériques LED IND.</t>
  </si>
  <si>
    <t>Trappes: 0</t>
  </si>
  <si>
    <t>Etage 2</t>
  </si>
  <si>
    <t>Terrasse Couverte</t>
  </si>
  <si>
    <t>Surface/Linéraire</t>
  </si>
  <si>
    <t>Faux-plafond BA13 STD - m²</t>
  </si>
  <si>
    <t>Faux-plafond Hyd - m²</t>
  </si>
  <si>
    <t>Caisson Suspendu Rectangle - m²</t>
  </si>
  <si>
    <t xml:space="preserve"> Caisson Suspendu Circulaire-m²</t>
  </si>
  <si>
    <t>Corniches Périphériques - ml</t>
  </si>
  <si>
    <t>Jouées Verticales - ml</t>
  </si>
  <si>
    <t>Trappes de visites - P</t>
  </si>
  <si>
    <t>Cornières Périph. 3ml</t>
  </si>
  <si>
    <t>Chevilles à frapper*30</t>
  </si>
  <si>
    <t>Chevilles Laiton</t>
  </si>
  <si>
    <t>Tiges filetées</t>
  </si>
  <si>
    <t>Cavaliers Pivots</t>
  </si>
  <si>
    <t>Fourrures</t>
  </si>
  <si>
    <t>Eclisse *50</t>
  </si>
  <si>
    <t>Vis Auto *1000</t>
  </si>
  <si>
    <t>Plaques Standard</t>
  </si>
  <si>
    <t>Plaques Hydro</t>
  </si>
  <si>
    <t>Vis 25 * 1000</t>
  </si>
  <si>
    <t>Enduit de joint</t>
  </si>
  <si>
    <t>Bande à joint</t>
  </si>
  <si>
    <t>Cornières perforées</t>
  </si>
  <si>
    <t>1/2 Cornières perforées</t>
  </si>
  <si>
    <t>Trappes de visite</t>
  </si>
  <si>
    <t>Total Matériel Projet</t>
  </si>
  <si>
    <t>Montant Total HT</t>
  </si>
  <si>
    <t>PU HT</t>
  </si>
  <si>
    <t>Total HT Matériel</t>
  </si>
  <si>
    <t>Est Main D'Œuvre et Divers Charges</t>
  </si>
  <si>
    <t>Total Estimatif Mat &amp; M.O</t>
  </si>
  <si>
    <t>Montant Vente HT</t>
  </si>
  <si>
    <t>PV HT</t>
  </si>
  <si>
    <t>Montant Total Vente HT</t>
  </si>
  <si>
    <t>Estimatif Marge</t>
  </si>
  <si>
    <t>% Marge</t>
  </si>
  <si>
    <t>Total Surface</t>
  </si>
  <si>
    <t xml:space="preserve">ETUDE ESTIMATIVE PROJET </t>
  </si>
  <si>
    <r>
      <rPr>
        <b/>
        <u/>
        <sz val="12"/>
        <color theme="1"/>
        <rFont val="Calibri"/>
        <family val="2"/>
        <scheme val="minor"/>
      </rPr>
      <t>Projet:</t>
    </r>
    <r>
      <rPr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rgb="FFFF0000"/>
        <rFont val="Calibri"/>
        <family val="2"/>
        <scheme val="minor"/>
      </rPr>
      <t>Villa FOFIE</t>
    </r>
  </si>
  <si>
    <t>VILLA FOFIE</t>
  </si>
  <si>
    <t xml:space="preserve">Récap Matériel ESTIMATIFPROJET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</si>
</sst>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\ _€_-;\-* #,##0.00\ _€_-;_-* &quot;-&quot;??\ _€_-;_-@_-"/>
    <numFmt numFmtId="164" formatCode="_-* #,##0\ _€_-;\-* #,##0\ _€_-;_-* &quot;-&quot;??\ _€_-;_-@_-"/>
  </numFmts>
  <fonts count="1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i/>
      <u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8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1" xfId="0" applyFill="1" applyBorder="1"/>
    <xf numFmtId="0" fontId="4" fillId="0" borderId="1" xfId="0" applyFont="1" applyBorder="1"/>
    <xf numFmtId="0" fontId="4" fillId="3" borderId="1" xfId="0" applyFont="1" applyFill="1" applyBorder="1"/>
    <xf numFmtId="0" fontId="4" fillId="0" borderId="0" xfId="0" applyFont="1"/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/>
    <xf numFmtId="0" fontId="5" fillId="0" borderId="0" xfId="0" applyFont="1"/>
    <xf numFmtId="0" fontId="5" fillId="2" borderId="1" xfId="0" applyFont="1" applyFill="1" applyBorder="1" applyAlignment="1">
      <alignment horizontal="center" vertical="center"/>
    </xf>
    <xf numFmtId="0" fontId="5" fillId="3" borderId="1" xfId="0" applyFont="1" applyFill="1" applyBorder="1"/>
    <xf numFmtId="0" fontId="0" fillId="4" borderId="0" xfId="0" applyFill="1"/>
    <xf numFmtId="0" fontId="0" fillId="5" borderId="0" xfId="0" applyFill="1"/>
    <xf numFmtId="0" fontId="0" fillId="2" borderId="0" xfId="0" applyFill="1"/>
    <xf numFmtId="0" fontId="0" fillId="0" borderId="0" xfId="0" applyFill="1"/>
    <xf numFmtId="0" fontId="0" fillId="7" borderId="0" xfId="0" applyFill="1"/>
    <xf numFmtId="0" fontId="4" fillId="6" borderId="0" xfId="0" applyFont="1" applyFill="1"/>
    <xf numFmtId="0" fontId="0" fillId="8" borderId="0" xfId="0" applyFill="1"/>
    <xf numFmtId="0" fontId="4" fillId="0" borderId="1" xfId="0" applyFont="1" applyFill="1" applyBorder="1"/>
    <xf numFmtId="0" fontId="5" fillId="0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/>
    </xf>
    <xf numFmtId="0" fontId="7" fillId="9" borderId="0" xfId="0" applyFont="1" applyFill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1" xfId="0" applyNumberFormat="1" applyBorder="1"/>
    <xf numFmtId="0" fontId="7" fillId="0" borderId="0" xfId="0" applyFont="1"/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164" fontId="7" fillId="0" borderId="1" xfId="0" applyNumberFormat="1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vertical="center" wrapText="1"/>
    </xf>
    <xf numFmtId="164" fontId="7" fillId="0" borderId="1" xfId="1" applyNumberFormat="1" applyFont="1" applyFill="1" applyBorder="1"/>
    <xf numFmtId="164" fontId="7" fillId="0" borderId="1" xfId="1" applyNumberFormat="1" applyFont="1" applyBorder="1"/>
    <xf numFmtId="0" fontId="8" fillId="0" borderId="0" xfId="0" applyFont="1"/>
    <xf numFmtId="0" fontId="7" fillId="2" borderId="6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9" fillId="9" borderId="1" xfId="0" applyFont="1" applyFill="1" applyBorder="1"/>
    <xf numFmtId="164" fontId="9" fillId="9" borderId="1" xfId="0" applyNumberFormat="1" applyFont="1" applyFill="1" applyBorder="1"/>
    <xf numFmtId="9" fontId="9" fillId="9" borderId="1" xfId="2" applyFont="1" applyFill="1" applyBorder="1" applyAlignment="1">
      <alignment horizontal="center"/>
    </xf>
    <xf numFmtId="0" fontId="10" fillId="10" borderId="6" xfId="0" applyFont="1" applyFill="1" applyBorder="1" applyAlignment="1">
      <alignment horizontal="center" vertical="center" wrapText="1"/>
    </xf>
    <xf numFmtId="0" fontId="10" fillId="10" borderId="0" xfId="0" applyFont="1" applyFill="1" applyAlignment="1">
      <alignment horizontal="center" vertical="center"/>
    </xf>
    <xf numFmtId="0" fontId="7" fillId="9" borderId="2" xfId="0" applyFont="1" applyFill="1" applyBorder="1" applyAlignment="1"/>
    <xf numFmtId="0" fontId="7" fillId="9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6" borderId="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/>
    </xf>
    <xf numFmtId="0" fontId="7" fillId="9" borderId="4" xfId="0" applyFont="1" applyFill="1" applyBorder="1" applyAlignment="1">
      <alignment horizontal="center"/>
    </xf>
    <xf numFmtId="0" fontId="7" fillId="9" borderId="3" xfId="0" applyFont="1" applyFill="1" applyBorder="1" applyAlignment="1">
      <alignment horizontal="center"/>
    </xf>
    <xf numFmtId="0" fontId="7" fillId="9" borderId="0" xfId="0" applyFont="1" applyFill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3"/>
  <sheetViews>
    <sheetView showRuler="0" topLeftCell="A67" zoomScale="109" zoomScaleNormal="109" zoomScalePageLayoutView="109" workbookViewId="0">
      <selection activeCell="A73" sqref="A73:B82"/>
    </sheetView>
  </sheetViews>
  <sheetFormatPr baseColWidth="10" defaultRowHeight="15.75" x14ac:dyDescent="0.25"/>
  <cols>
    <col min="1" max="1" width="21.875" customWidth="1"/>
  </cols>
  <sheetData>
    <row r="1" spans="1:2" ht="18.75" x14ac:dyDescent="0.3">
      <c r="A1" s="3" t="s">
        <v>66</v>
      </c>
    </row>
    <row r="3" spans="1:2" x14ac:dyDescent="0.25">
      <c r="A3" t="s">
        <v>64</v>
      </c>
    </row>
    <row r="4" spans="1:2" x14ac:dyDescent="0.25">
      <c r="A4" t="s">
        <v>65</v>
      </c>
    </row>
    <row r="9" spans="1:2" x14ac:dyDescent="0.25">
      <c r="A9" s="54" t="s">
        <v>0</v>
      </c>
      <c r="B9" s="54"/>
    </row>
    <row r="10" spans="1:2" x14ac:dyDescent="0.25">
      <c r="A10" s="1" t="s">
        <v>1</v>
      </c>
      <c r="B10" s="1">
        <v>27.3</v>
      </c>
    </row>
    <row r="11" spans="1:2" x14ac:dyDescent="0.25">
      <c r="A11" s="1" t="s">
        <v>3</v>
      </c>
      <c r="B11" s="1">
        <v>14.59</v>
      </c>
    </row>
    <row r="12" spans="1:2" x14ac:dyDescent="0.25">
      <c r="A12" s="1" t="s">
        <v>4</v>
      </c>
      <c r="B12" s="1">
        <v>4</v>
      </c>
    </row>
    <row r="13" spans="1:2" x14ac:dyDescent="0.25">
      <c r="A13" s="1" t="s">
        <v>5</v>
      </c>
      <c r="B13" s="1">
        <v>52.8</v>
      </c>
    </row>
    <row r="14" spans="1:2" x14ac:dyDescent="0.25">
      <c r="A14" s="1" t="s">
        <v>6</v>
      </c>
      <c r="B14" s="1">
        <v>3.95</v>
      </c>
    </row>
    <row r="15" spans="1:2" x14ac:dyDescent="0.25">
      <c r="A15" s="1" t="s">
        <v>7</v>
      </c>
      <c r="B15" s="1">
        <v>14.76</v>
      </c>
    </row>
    <row r="16" spans="1:2" x14ac:dyDescent="0.25">
      <c r="A16" t="s">
        <v>8</v>
      </c>
      <c r="B16" s="1">
        <v>7.3</v>
      </c>
    </row>
    <row r="17" spans="1:2" x14ac:dyDescent="0.25">
      <c r="A17" s="1" t="s">
        <v>9</v>
      </c>
      <c r="B17" s="1">
        <v>12.5</v>
      </c>
    </row>
    <row r="18" spans="1:2" x14ac:dyDescent="0.25">
      <c r="A18" s="1" t="s">
        <v>2</v>
      </c>
      <c r="B18" s="1">
        <v>15.7</v>
      </c>
    </row>
    <row r="19" spans="1:2" x14ac:dyDescent="0.25">
      <c r="A19" s="1" t="s">
        <v>10</v>
      </c>
      <c r="B19" s="1">
        <v>2.5</v>
      </c>
    </row>
    <row r="20" spans="1:2" x14ac:dyDescent="0.25">
      <c r="A20" s="1" t="s">
        <v>11</v>
      </c>
      <c r="B20" s="1">
        <v>13.11</v>
      </c>
    </row>
    <row r="21" spans="1:2" x14ac:dyDescent="0.25">
      <c r="A21" s="1" t="s">
        <v>12</v>
      </c>
      <c r="B21" s="1">
        <v>122.43</v>
      </c>
    </row>
    <row r="22" spans="1:2" x14ac:dyDescent="0.25">
      <c r="A22" s="1" t="s">
        <v>13</v>
      </c>
      <c r="B22" s="1">
        <v>13</v>
      </c>
    </row>
    <row r="23" spans="1:2" x14ac:dyDescent="0.25">
      <c r="A23" s="2" t="s">
        <v>59</v>
      </c>
      <c r="B23" s="2">
        <f>SUM(B10:B22)</f>
        <v>303.94</v>
      </c>
    </row>
    <row r="24" spans="1:2" x14ac:dyDescent="0.25">
      <c r="A24" s="54" t="s">
        <v>48</v>
      </c>
      <c r="B24" s="54"/>
    </row>
    <row r="25" spans="1:2" x14ac:dyDescent="0.25">
      <c r="A25" s="1" t="s">
        <v>49</v>
      </c>
      <c r="B25" s="1">
        <v>17.329999999999998</v>
      </c>
    </row>
    <row r="26" spans="1:2" x14ac:dyDescent="0.25">
      <c r="A26" s="1" t="s">
        <v>50</v>
      </c>
      <c r="B26" s="1">
        <v>11.48</v>
      </c>
    </row>
    <row r="27" spans="1:2" x14ac:dyDescent="0.25">
      <c r="A27" s="1" t="s">
        <v>45</v>
      </c>
      <c r="B27" s="1">
        <v>2.39</v>
      </c>
    </row>
    <row r="28" spans="1:2" x14ac:dyDescent="0.25">
      <c r="A28" s="1" t="s">
        <v>51</v>
      </c>
      <c r="B28" s="1">
        <v>11.44</v>
      </c>
    </row>
    <row r="29" spans="1:2" x14ac:dyDescent="0.25">
      <c r="A29" s="1" t="s">
        <v>52</v>
      </c>
      <c r="B29" s="1">
        <v>7.15</v>
      </c>
    </row>
    <row r="30" spans="1:2" x14ac:dyDescent="0.25">
      <c r="A30" s="1" t="s">
        <v>53</v>
      </c>
      <c r="B30" s="1">
        <v>15.24</v>
      </c>
    </row>
    <row r="31" spans="1:2" x14ac:dyDescent="0.25">
      <c r="A31" s="1" t="s">
        <v>45</v>
      </c>
      <c r="B31" s="1">
        <v>3.29</v>
      </c>
    </row>
    <row r="32" spans="1:2" x14ac:dyDescent="0.25">
      <c r="A32" s="1" t="s">
        <v>31</v>
      </c>
      <c r="B32" s="1">
        <v>7.76</v>
      </c>
    </row>
    <row r="33" spans="1:2" x14ac:dyDescent="0.25">
      <c r="A33" s="1" t="s">
        <v>58</v>
      </c>
      <c r="B33" s="1">
        <v>26.13</v>
      </c>
    </row>
    <row r="34" spans="1:2" x14ac:dyDescent="0.25">
      <c r="A34" s="1" t="s">
        <v>16</v>
      </c>
      <c r="B34" s="1">
        <v>3.91</v>
      </c>
    </row>
    <row r="35" spans="1:2" x14ac:dyDescent="0.25">
      <c r="A35" s="1" t="s">
        <v>34</v>
      </c>
      <c r="B35" s="1">
        <v>12.5</v>
      </c>
    </row>
    <row r="36" spans="1:2" x14ac:dyDescent="0.25">
      <c r="A36" s="1" t="s">
        <v>31</v>
      </c>
      <c r="B36" s="1">
        <v>11.18</v>
      </c>
    </row>
    <row r="37" spans="1:2" x14ac:dyDescent="0.25">
      <c r="A37" s="1" t="s">
        <v>29</v>
      </c>
      <c r="B37" s="1">
        <v>27.55</v>
      </c>
    </row>
    <row r="38" spans="1:2" x14ac:dyDescent="0.25">
      <c r="A38" s="1" t="s">
        <v>55</v>
      </c>
      <c r="B38" s="1">
        <v>13.59</v>
      </c>
    </row>
    <row r="39" spans="1:2" x14ac:dyDescent="0.25">
      <c r="A39" s="1" t="s">
        <v>54</v>
      </c>
      <c r="B39" s="1">
        <v>64.89</v>
      </c>
    </row>
    <row r="40" spans="1:2" x14ac:dyDescent="0.25">
      <c r="A40" s="1" t="s">
        <v>60</v>
      </c>
      <c r="B40" s="1">
        <v>10.91</v>
      </c>
    </row>
    <row r="41" spans="1:2" x14ac:dyDescent="0.25">
      <c r="A41" s="1" t="s">
        <v>56</v>
      </c>
      <c r="B41" s="1">
        <v>19.399999999999999</v>
      </c>
    </row>
    <row r="42" spans="1:2" x14ac:dyDescent="0.25">
      <c r="A42" s="1" t="s">
        <v>57</v>
      </c>
      <c r="B42" s="1">
        <v>29.62</v>
      </c>
    </row>
    <row r="43" spans="1:2" x14ac:dyDescent="0.25">
      <c r="A43" s="1" t="s">
        <v>11</v>
      </c>
      <c r="B43" s="1">
        <v>12</v>
      </c>
    </row>
    <row r="44" spans="1:2" x14ac:dyDescent="0.25">
      <c r="A44" s="2" t="s">
        <v>61</v>
      </c>
      <c r="B44" s="2">
        <f>SUM(B25:B43)</f>
        <v>307.76000000000005</v>
      </c>
    </row>
    <row r="45" spans="1:2" x14ac:dyDescent="0.25">
      <c r="A45" s="54" t="s">
        <v>14</v>
      </c>
      <c r="B45" s="54"/>
    </row>
    <row r="46" spans="1:2" x14ac:dyDescent="0.25">
      <c r="A46" s="1" t="s">
        <v>15</v>
      </c>
      <c r="B46" s="1">
        <v>2.7</v>
      </c>
    </row>
    <row r="47" spans="1:2" x14ac:dyDescent="0.25">
      <c r="A47" s="1" t="s">
        <v>16</v>
      </c>
      <c r="B47" s="1">
        <v>4.7699999999999996</v>
      </c>
    </row>
    <row r="48" spans="1:2" x14ac:dyDescent="0.25">
      <c r="A48" s="1" t="s">
        <v>17</v>
      </c>
      <c r="B48" s="1">
        <v>15.39</v>
      </c>
    </row>
    <row r="49" spans="1:2" x14ac:dyDescent="0.25">
      <c r="A49" s="1" t="s">
        <v>18</v>
      </c>
      <c r="B49" s="1">
        <v>2.04</v>
      </c>
    </row>
    <row r="50" spans="1:2" x14ac:dyDescent="0.25">
      <c r="A50" s="1" t="s">
        <v>19</v>
      </c>
      <c r="B50" s="1">
        <v>2.62</v>
      </c>
    </row>
    <row r="51" spans="1:2" x14ac:dyDescent="0.25">
      <c r="A51" s="1" t="s">
        <v>16</v>
      </c>
      <c r="B51" s="1">
        <v>4.5</v>
      </c>
    </row>
    <row r="52" spans="1:2" x14ac:dyDescent="0.25">
      <c r="A52" s="1" t="s">
        <v>20</v>
      </c>
      <c r="B52" s="1">
        <v>15.79</v>
      </c>
    </row>
    <row r="53" spans="1:2" x14ac:dyDescent="0.25">
      <c r="A53" s="1" t="s">
        <v>21</v>
      </c>
      <c r="B53" s="1">
        <v>3.99</v>
      </c>
    </row>
    <row r="54" spans="1:2" x14ac:dyDescent="0.25">
      <c r="A54" s="1" t="s">
        <v>22</v>
      </c>
      <c r="B54" s="1">
        <v>3.99</v>
      </c>
    </row>
    <row r="55" spans="1:2" x14ac:dyDescent="0.25">
      <c r="A55" s="1" t="s">
        <v>23</v>
      </c>
      <c r="B55" s="1">
        <v>17.22</v>
      </c>
    </row>
    <row r="56" spans="1:2" x14ac:dyDescent="0.25">
      <c r="A56" s="1" t="s">
        <v>24</v>
      </c>
      <c r="B56" s="1">
        <v>5.09</v>
      </c>
    </row>
    <row r="57" spans="1:2" x14ac:dyDescent="0.25">
      <c r="A57" s="1" t="s">
        <v>25</v>
      </c>
      <c r="B57" s="1">
        <v>10.93</v>
      </c>
    </row>
    <row r="58" spans="1:2" x14ac:dyDescent="0.25">
      <c r="A58" s="1" t="s">
        <v>26</v>
      </c>
      <c r="B58" s="1">
        <v>9.76</v>
      </c>
    </row>
    <row r="59" spans="1:2" x14ac:dyDescent="0.25">
      <c r="A59" s="1" t="s">
        <v>27</v>
      </c>
      <c r="B59" s="1">
        <v>23.84</v>
      </c>
    </row>
    <row r="60" spans="1:2" x14ac:dyDescent="0.25">
      <c r="A60" s="1" t="s">
        <v>28</v>
      </c>
      <c r="B60" s="1">
        <v>20.59</v>
      </c>
    </row>
    <row r="61" spans="1:2" x14ac:dyDescent="0.25">
      <c r="A61" s="1" t="s">
        <v>29</v>
      </c>
      <c r="B61" s="1">
        <v>4.9800000000000004</v>
      </c>
    </row>
    <row r="62" spans="1:2" x14ac:dyDescent="0.25">
      <c r="A62" s="1" t="s">
        <v>30</v>
      </c>
      <c r="B62" s="1">
        <v>14.6</v>
      </c>
    </row>
    <row r="63" spans="1:2" x14ac:dyDescent="0.25">
      <c r="A63" s="1" t="s">
        <v>32</v>
      </c>
      <c r="B63" s="1">
        <v>16.95</v>
      </c>
    </row>
    <row r="64" spans="1:2" x14ac:dyDescent="0.25">
      <c r="A64" s="1" t="s">
        <v>33</v>
      </c>
      <c r="B64" s="1">
        <v>3.09</v>
      </c>
    </row>
    <row r="65" spans="1:2" x14ac:dyDescent="0.25">
      <c r="A65" s="1" t="s">
        <v>34</v>
      </c>
      <c r="B65" s="1">
        <v>14</v>
      </c>
    </row>
    <row r="66" spans="1:2" x14ac:dyDescent="0.25">
      <c r="A66" s="1" t="s">
        <v>35</v>
      </c>
      <c r="B66" s="1">
        <v>27.46</v>
      </c>
    </row>
    <row r="67" spans="1:2" x14ac:dyDescent="0.25">
      <c r="A67" s="1" t="s">
        <v>36</v>
      </c>
      <c r="B67" s="1">
        <v>14.6</v>
      </c>
    </row>
    <row r="68" spans="1:2" x14ac:dyDescent="0.25">
      <c r="A68" s="1" t="s">
        <v>37</v>
      </c>
      <c r="B68" s="1">
        <v>19.96</v>
      </c>
    </row>
    <row r="69" spans="1:2" x14ac:dyDescent="0.25">
      <c r="A69" s="1" t="s">
        <v>34</v>
      </c>
      <c r="B69" s="1">
        <v>15</v>
      </c>
    </row>
    <row r="70" spans="1:2" x14ac:dyDescent="0.25">
      <c r="A70" s="1" t="s">
        <v>38</v>
      </c>
      <c r="B70" s="1">
        <v>5.31</v>
      </c>
    </row>
    <row r="71" spans="1:2" x14ac:dyDescent="0.25">
      <c r="A71" s="2" t="s">
        <v>62</v>
      </c>
      <c r="B71" s="2">
        <f>SUM(B46:B70)</f>
        <v>279.16999999999996</v>
      </c>
    </row>
    <row r="72" spans="1:2" x14ac:dyDescent="0.25">
      <c r="A72" s="54" t="s">
        <v>39</v>
      </c>
      <c r="B72" s="54"/>
    </row>
    <row r="73" spans="1:2" x14ac:dyDescent="0.25">
      <c r="A73" s="1" t="s">
        <v>40</v>
      </c>
      <c r="B73" s="1">
        <v>18.04</v>
      </c>
    </row>
    <row r="74" spans="1:2" x14ac:dyDescent="0.25">
      <c r="A74" s="1" t="s">
        <v>10</v>
      </c>
      <c r="B74" s="1">
        <v>6.59</v>
      </c>
    </row>
    <row r="75" spans="1:2" x14ac:dyDescent="0.25">
      <c r="A75" s="1" t="s">
        <v>41</v>
      </c>
      <c r="B75" s="1">
        <v>3.9</v>
      </c>
    </row>
    <row r="76" spans="1:2" x14ac:dyDescent="0.25">
      <c r="A76" s="1" t="s">
        <v>42</v>
      </c>
      <c r="B76" s="1">
        <v>19.28</v>
      </c>
    </row>
    <row r="77" spans="1:2" x14ac:dyDescent="0.25">
      <c r="A77" s="1" t="s">
        <v>43</v>
      </c>
      <c r="B77" s="1">
        <v>14.46</v>
      </c>
    </row>
    <row r="78" spans="1:2" x14ac:dyDescent="0.25">
      <c r="A78" s="1" t="s">
        <v>44</v>
      </c>
      <c r="B78" s="1">
        <v>12</v>
      </c>
    </row>
    <row r="79" spans="1:2" x14ac:dyDescent="0.25">
      <c r="A79" t="s">
        <v>45</v>
      </c>
      <c r="B79" s="1">
        <v>11.25</v>
      </c>
    </row>
    <row r="80" spans="1:2" x14ac:dyDescent="0.25">
      <c r="A80" s="1" t="s">
        <v>46</v>
      </c>
      <c r="B80" s="1">
        <v>23.87</v>
      </c>
    </row>
    <row r="81" spans="1:2" x14ac:dyDescent="0.25">
      <c r="A81" s="1" t="s">
        <v>47</v>
      </c>
      <c r="B81" s="1">
        <v>2.81</v>
      </c>
    </row>
    <row r="82" spans="1:2" x14ac:dyDescent="0.25">
      <c r="A82" s="1" t="s">
        <v>34</v>
      </c>
      <c r="B82" s="1">
        <v>9.5</v>
      </c>
    </row>
    <row r="83" spans="1:2" x14ac:dyDescent="0.25">
      <c r="A83" s="2" t="s">
        <v>63</v>
      </c>
      <c r="B83" s="2">
        <f>SUM(B73:B82)</f>
        <v>121.70000000000002</v>
      </c>
    </row>
  </sheetData>
  <mergeCells count="4">
    <mergeCell ref="A9:B9"/>
    <mergeCell ref="A45:B45"/>
    <mergeCell ref="A72:B72"/>
    <mergeCell ref="A24:B2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26"/>
  <sheetViews>
    <sheetView topLeftCell="A4" workbookViewId="0">
      <selection activeCell="A21" sqref="A21"/>
    </sheetView>
  </sheetViews>
  <sheetFormatPr baseColWidth="10" defaultRowHeight="15.75" x14ac:dyDescent="0.25"/>
  <cols>
    <col min="1" max="1" width="18.25" bestFit="1" customWidth="1"/>
    <col min="3" max="5" width="11.625" customWidth="1"/>
    <col min="6" max="8" width="11.25" customWidth="1"/>
    <col min="9" max="10" width="11" style="15"/>
    <col min="11" max="11" width="11" style="11"/>
    <col min="14" max="14" width="11" style="11"/>
    <col min="15" max="15" width="12.25" customWidth="1"/>
    <col min="17" max="17" width="11" style="11"/>
    <col min="20" max="20" width="11" style="11"/>
  </cols>
  <sheetData>
    <row r="2" spans="1:21" x14ac:dyDescent="0.25">
      <c r="A2" s="4" t="s">
        <v>67</v>
      </c>
    </row>
    <row r="3" spans="1:21" x14ac:dyDescent="0.25">
      <c r="A3" s="4"/>
    </row>
    <row r="4" spans="1:21" x14ac:dyDescent="0.25">
      <c r="A4" s="5" t="s">
        <v>68</v>
      </c>
      <c r="R4" s="58" t="s">
        <v>78</v>
      </c>
      <c r="S4" s="58"/>
      <c r="T4" s="58"/>
      <c r="U4" s="58"/>
    </row>
    <row r="5" spans="1:21" ht="47.25" customHeight="1" x14ac:dyDescent="0.25">
      <c r="C5" s="67" t="s">
        <v>69</v>
      </c>
      <c r="D5" s="68"/>
      <c r="E5" s="69"/>
      <c r="F5" s="67" t="s">
        <v>71</v>
      </c>
      <c r="G5" s="68"/>
      <c r="H5" s="69"/>
      <c r="I5" s="67" t="s">
        <v>75</v>
      </c>
      <c r="J5" s="68"/>
      <c r="K5" s="69"/>
      <c r="L5" s="67" t="s">
        <v>76</v>
      </c>
      <c r="M5" s="68"/>
      <c r="N5" s="69"/>
      <c r="O5" s="70" t="s">
        <v>74</v>
      </c>
      <c r="P5" s="70"/>
      <c r="Q5" s="70"/>
      <c r="R5" s="70" t="s">
        <v>80</v>
      </c>
      <c r="S5" s="70"/>
      <c r="T5" s="70"/>
      <c r="U5" s="7" t="s">
        <v>79</v>
      </c>
    </row>
    <row r="6" spans="1:21" x14ac:dyDescent="0.25">
      <c r="A6" s="6" t="s">
        <v>48</v>
      </c>
      <c r="B6" s="6" t="s">
        <v>70</v>
      </c>
      <c r="C6" s="6" t="s">
        <v>72</v>
      </c>
      <c r="D6" s="6" t="s">
        <v>73</v>
      </c>
      <c r="E6" s="12" t="s">
        <v>77</v>
      </c>
      <c r="F6" s="6" t="s">
        <v>72</v>
      </c>
      <c r="G6" s="6" t="s">
        <v>73</v>
      </c>
      <c r="H6" s="12" t="s">
        <v>77</v>
      </c>
      <c r="I6" s="16" t="s">
        <v>72</v>
      </c>
      <c r="J6" s="16" t="s">
        <v>73</v>
      </c>
      <c r="K6" s="12" t="s">
        <v>77</v>
      </c>
      <c r="L6" s="6" t="s">
        <v>72</v>
      </c>
      <c r="M6" s="6" t="s">
        <v>73</v>
      </c>
      <c r="N6" s="12" t="s">
        <v>77</v>
      </c>
      <c r="O6" s="6" t="s">
        <v>72</v>
      </c>
      <c r="P6" s="6" t="s">
        <v>73</v>
      </c>
      <c r="Q6" s="13" t="s">
        <v>77</v>
      </c>
      <c r="R6" s="6" t="s">
        <v>72</v>
      </c>
      <c r="S6" s="6" t="s">
        <v>73</v>
      </c>
      <c r="T6" s="13" t="s">
        <v>77</v>
      </c>
      <c r="U6" s="6" t="s">
        <v>81</v>
      </c>
    </row>
    <row r="7" spans="1:21" x14ac:dyDescent="0.25">
      <c r="A7" s="1" t="s">
        <v>49</v>
      </c>
      <c r="B7" s="1">
        <v>17.329999999999998</v>
      </c>
      <c r="C7" s="1"/>
      <c r="D7" s="9"/>
      <c r="E7" s="9">
        <f>+B7</f>
        <v>17.329999999999998</v>
      </c>
      <c r="F7" s="9"/>
      <c r="G7" s="9"/>
      <c r="H7" s="9"/>
      <c r="I7" s="14"/>
      <c r="J7" s="14"/>
      <c r="K7" s="9"/>
      <c r="L7" s="9"/>
      <c r="M7" s="9"/>
      <c r="N7" s="9"/>
      <c r="O7" s="1"/>
      <c r="P7" s="1"/>
      <c r="Q7" s="9"/>
      <c r="R7" s="1"/>
      <c r="S7" s="1"/>
      <c r="T7" s="9"/>
      <c r="U7" s="9"/>
    </row>
    <row r="8" spans="1:21" x14ac:dyDescent="0.25">
      <c r="A8" s="1" t="s">
        <v>31</v>
      </c>
      <c r="B8" s="1">
        <v>11.18</v>
      </c>
      <c r="C8" s="1"/>
      <c r="D8" s="9"/>
      <c r="E8" s="9">
        <f>+B8</f>
        <v>11.18</v>
      </c>
      <c r="F8" s="9"/>
      <c r="G8" s="9"/>
      <c r="H8" s="9"/>
      <c r="I8" s="14">
        <v>7.95</v>
      </c>
      <c r="J8" s="14">
        <v>0.4</v>
      </c>
      <c r="K8" s="9">
        <f>+J8*I8</f>
        <v>3.18</v>
      </c>
      <c r="L8" s="9"/>
      <c r="M8" s="9"/>
      <c r="N8" s="9"/>
      <c r="O8" s="1"/>
      <c r="P8" s="1"/>
      <c r="Q8" s="9"/>
      <c r="R8" s="1"/>
      <c r="S8" s="1"/>
      <c r="T8" s="9"/>
      <c r="U8" s="9"/>
    </row>
    <row r="9" spans="1:21" x14ac:dyDescent="0.25">
      <c r="A9" s="1" t="s">
        <v>50</v>
      </c>
      <c r="B9" s="1">
        <v>11.48</v>
      </c>
      <c r="C9" s="1"/>
      <c r="D9" s="9"/>
      <c r="E9" s="9"/>
      <c r="F9" s="1"/>
      <c r="G9" s="9"/>
      <c r="H9" s="9">
        <f>+B9</f>
        <v>11.48</v>
      </c>
      <c r="I9" s="14">
        <v>3.19</v>
      </c>
      <c r="J9" s="14">
        <v>1.41</v>
      </c>
      <c r="K9" s="9">
        <f>+J9*I9</f>
        <v>4.4978999999999996</v>
      </c>
      <c r="L9" s="9"/>
      <c r="M9" s="9"/>
      <c r="N9" s="9"/>
      <c r="O9" s="1"/>
      <c r="P9" s="1"/>
      <c r="Q9" s="9"/>
      <c r="R9" s="1"/>
      <c r="S9" s="1"/>
      <c r="T9" s="9"/>
      <c r="U9" s="9"/>
    </row>
    <row r="10" spans="1:21" x14ac:dyDescent="0.25">
      <c r="A10" s="1" t="s">
        <v>45</v>
      </c>
      <c r="B10" s="1">
        <v>2.39</v>
      </c>
      <c r="C10" s="1"/>
      <c r="D10" s="9"/>
      <c r="E10" s="9"/>
      <c r="F10" s="1"/>
      <c r="G10" s="9"/>
      <c r="H10" s="9">
        <f>+B10</f>
        <v>2.39</v>
      </c>
      <c r="I10" s="14"/>
      <c r="J10" s="14"/>
      <c r="K10" s="9"/>
      <c r="L10" s="9"/>
      <c r="M10" s="9"/>
      <c r="N10" s="9"/>
      <c r="O10" s="1"/>
      <c r="P10" s="1"/>
      <c r="Q10" s="9"/>
      <c r="R10" s="1"/>
      <c r="S10" s="1"/>
      <c r="T10" s="9"/>
      <c r="U10" s="9"/>
    </row>
    <row r="11" spans="1:21" x14ac:dyDescent="0.25">
      <c r="A11" s="1" t="s">
        <v>51</v>
      </c>
      <c r="B11" s="1">
        <v>11.44</v>
      </c>
      <c r="C11" s="1"/>
      <c r="D11" s="9"/>
      <c r="E11" s="9">
        <f>+B11</f>
        <v>11.44</v>
      </c>
      <c r="F11" s="9"/>
      <c r="G11" s="9"/>
      <c r="H11" s="9"/>
      <c r="I11" s="14">
        <v>2.1</v>
      </c>
      <c r="J11" s="14">
        <v>0.34</v>
      </c>
      <c r="K11" s="9">
        <f>+J11*I11</f>
        <v>0.71400000000000008</v>
      </c>
      <c r="L11" s="9"/>
      <c r="M11" s="9"/>
      <c r="N11" s="9"/>
      <c r="O11" s="1"/>
      <c r="P11" s="1"/>
      <c r="Q11" s="9"/>
      <c r="R11" s="1"/>
      <c r="S11" s="1"/>
      <c r="T11" s="9"/>
      <c r="U11" s="9"/>
    </row>
    <row r="12" spans="1:21" x14ac:dyDescent="0.25">
      <c r="A12" s="2" t="s">
        <v>52</v>
      </c>
      <c r="B12" s="2">
        <v>7.15</v>
      </c>
      <c r="C12" s="2"/>
      <c r="D12" s="10"/>
      <c r="E12" s="10"/>
      <c r="F12" s="10"/>
      <c r="G12" s="10"/>
      <c r="H12" s="10"/>
      <c r="I12" s="17"/>
      <c r="J12" s="17"/>
      <c r="K12" s="10"/>
      <c r="L12" s="10"/>
      <c r="M12" s="10"/>
      <c r="N12" s="10"/>
      <c r="O12" s="1"/>
      <c r="P12" s="1"/>
      <c r="Q12" s="9"/>
      <c r="R12" s="1"/>
      <c r="S12" s="1"/>
      <c r="T12" s="9"/>
      <c r="U12" s="9"/>
    </row>
    <row r="13" spans="1:21" x14ac:dyDescent="0.25">
      <c r="A13" s="1" t="s">
        <v>53</v>
      </c>
      <c r="B13" s="1">
        <v>15.24</v>
      </c>
      <c r="C13" s="1"/>
      <c r="D13" s="9"/>
      <c r="E13" s="9">
        <f>+B13</f>
        <v>15.24</v>
      </c>
      <c r="F13" s="9"/>
      <c r="G13" s="9"/>
      <c r="H13" s="9"/>
      <c r="I13" s="14">
        <v>1.56</v>
      </c>
      <c r="J13" s="14">
        <v>0.4</v>
      </c>
      <c r="K13" s="9">
        <f>+I13*J13*2</f>
        <v>1.2480000000000002</v>
      </c>
      <c r="L13" s="1">
        <v>1.6</v>
      </c>
      <c r="M13" s="1">
        <v>1.6</v>
      </c>
      <c r="N13" s="9">
        <f>3.14*(0.8*0.8)</f>
        <v>2.0096000000000003</v>
      </c>
      <c r="O13" s="1">
        <f>+(4.48*2)+(3.36*2)</f>
        <v>15.68</v>
      </c>
      <c r="P13" s="1">
        <v>0.6</v>
      </c>
      <c r="Q13" s="9">
        <f>+P13*O13</f>
        <v>9.4079999999999995</v>
      </c>
      <c r="R13" s="1"/>
      <c r="S13" s="1"/>
      <c r="T13" s="9"/>
      <c r="U13" s="9"/>
    </row>
    <row r="14" spans="1:21" x14ac:dyDescent="0.25">
      <c r="A14" s="1" t="s">
        <v>45</v>
      </c>
      <c r="B14" s="1">
        <v>3.29</v>
      </c>
      <c r="C14" s="9"/>
      <c r="D14" s="9"/>
      <c r="E14" s="9"/>
      <c r="F14" s="9"/>
      <c r="G14" s="9"/>
      <c r="H14" s="9">
        <f>+B14</f>
        <v>3.29</v>
      </c>
      <c r="I14" s="14"/>
      <c r="J14" s="14"/>
      <c r="K14" s="9"/>
      <c r="L14" s="9"/>
      <c r="M14" s="9"/>
      <c r="N14" s="9"/>
      <c r="O14" s="1"/>
      <c r="P14" s="1"/>
      <c r="Q14" s="9"/>
      <c r="R14" s="1"/>
      <c r="S14" s="1"/>
      <c r="T14" s="9"/>
      <c r="U14" s="9"/>
    </row>
    <row r="15" spans="1:21" x14ac:dyDescent="0.25">
      <c r="A15" s="1" t="s">
        <v>31</v>
      </c>
      <c r="B15" s="1">
        <v>7.76</v>
      </c>
      <c r="C15" s="9"/>
      <c r="D15" s="9"/>
      <c r="E15" s="9">
        <f>+B15</f>
        <v>7.76</v>
      </c>
      <c r="F15" s="9"/>
      <c r="G15" s="9"/>
      <c r="H15" s="9"/>
      <c r="I15" s="14"/>
      <c r="J15" s="14"/>
      <c r="K15" s="9"/>
      <c r="L15" s="9"/>
      <c r="M15" s="9"/>
      <c r="N15" s="9"/>
      <c r="O15" s="1"/>
      <c r="P15" s="1"/>
      <c r="Q15" s="9"/>
      <c r="R15" s="1"/>
      <c r="S15" s="1"/>
      <c r="T15" s="9"/>
      <c r="U15" s="9"/>
    </row>
    <row r="16" spans="1:21" x14ac:dyDescent="0.25">
      <c r="A16" s="1" t="s">
        <v>58</v>
      </c>
      <c r="B16" s="1">
        <v>26.13</v>
      </c>
      <c r="C16" s="9"/>
      <c r="D16" s="9"/>
      <c r="E16" s="9">
        <f>+B16</f>
        <v>26.13</v>
      </c>
      <c r="F16" s="9"/>
      <c r="G16" s="9"/>
      <c r="H16" s="9"/>
      <c r="I16" s="14">
        <v>2.99</v>
      </c>
      <c r="J16" s="14">
        <v>1.83</v>
      </c>
      <c r="K16" s="9">
        <f>+J16*I16</f>
        <v>5.4717000000000002</v>
      </c>
      <c r="L16" s="9"/>
      <c r="M16" s="9"/>
      <c r="N16" s="9"/>
      <c r="O16" s="1">
        <v>18.96</v>
      </c>
      <c r="P16" s="1">
        <v>0.6</v>
      </c>
      <c r="Q16" s="9">
        <f>+P16*O16</f>
        <v>11.375999999999999</v>
      </c>
      <c r="R16" s="1"/>
      <c r="S16" s="1"/>
      <c r="T16" s="9"/>
      <c r="U16" s="9"/>
    </row>
    <row r="17" spans="1:21" x14ac:dyDescent="0.25">
      <c r="A17" s="1" t="s">
        <v>16</v>
      </c>
      <c r="B17" s="1">
        <v>3.91</v>
      </c>
      <c r="C17" s="9"/>
      <c r="D17" s="9"/>
      <c r="E17" s="9"/>
      <c r="F17" s="9"/>
      <c r="G17" s="9"/>
      <c r="H17" s="9">
        <f>+B17</f>
        <v>3.91</v>
      </c>
      <c r="I17" s="14"/>
      <c r="J17" s="14"/>
      <c r="K17" s="9"/>
      <c r="L17" s="9"/>
      <c r="M17" s="9"/>
      <c r="N17" s="9"/>
      <c r="O17" s="1"/>
      <c r="P17" s="1"/>
      <c r="Q17" s="9"/>
      <c r="R17" s="1"/>
      <c r="S17" s="1"/>
      <c r="T17" s="9"/>
      <c r="U17" s="9"/>
    </row>
    <row r="18" spans="1:21" x14ac:dyDescent="0.25">
      <c r="A18" s="1" t="s">
        <v>34</v>
      </c>
      <c r="B18" s="1">
        <v>12.5</v>
      </c>
      <c r="C18" s="9"/>
      <c r="D18" s="9"/>
      <c r="E18" s="9">
        <f>+B18</f>
        <v>12.5</v>
      </c>
      <c r="F18" s="9"/>
      <c r="G18" s="9"/>
      <c r="H18" s="9"/>
      <c r="I18" s="14"/>
      <c r="J18" s="14"/>
      <c r="K18" s="9"/>
      <c r="L18" s="9"/>
      <c r="M18" s="9"/>
      <c r="N18" s="9"/>
      <c r="O18" s="1"/>
      <c r="P18" s="1"/>
      <c r="Q18" s="9"/>
      <c r="R18" s="1"/>
      <c r="S18" s="1"/>
      <c r="T18" s="9"/>
      <c r="U18" s="9"/>
    </row>
    <row r="19" spans="1:21" x14ac:dyDescent="0.25">
      <c r="A19" s="1" t="s">
        <v>29</v>
      </c>
      <c r="B19" s="1">
        <v>27.55</v>
      </c>
      <c r="C19" s="9"/>
      <c r="D19" s="9"/>
      <c r="E19" s="9"/>
      <c r="F19" s="9"/>
      <c r="G19" s="9"/>
      <c r="H19" s="9">
        <f>+B19</f>
        <v>27.55</v>
      </c>
      <c r="I19" s="14"/>
      <c r="J19" s="14"/>
      <c r="K19" s="9"/>
      <c r="L19" s="9"/>
      <c r="M19" s="9"/>
      <c r="N19" s="9"/>
      <c r="O19" s="1"/>
      <c r="P19" s="1"/>
      <c r="Q19" s="9"/>
      <c r="R19" s="1"/>
      <c r="S19" s="1"/>
      <c r="T19" s="9"/>
      <c r="U19" s="9"/>
    </row>
    <row r="20" spans="1:21" x14ac:dyDescent="0.25">
      <c r="A20" s="1" t="s">
        <v>55</v>
      </c>
      <c r="B20" s="1">
        <v>13.59</v>
      </c>
      <c r="C20" s="9"/>
      <c r="D20" s="9"/>
      <c r="E20" s="9">
        <f>+B20</f>
        <v>13.59</v>
      </c>
      <c r="F20" s="9"/>
      <c r="G20" s="9"/>
      <c r="H20" s="9"/>
      <c r="I20" s="14">
        <v>2.59</v>
      </c>
      <c r="J20" s="14">
        <v>1.49</v>
      </c>
      <c r="K20" s="9">
        <f>+J20*I20</f>
        <v>3.8590999999999998</v>
      </c>
      <c r="L20" s="9"/>
      <c r="M20" s="9"/>
      <c r="N20" s="9"/>
      <c r="O20" s="1"/>
      <c r="P20" s="1"/>
      <c r="Q20" s="9"/>
      <c r="R20" s="1">
        <f>3.98+3.98+1.49+1.49</f>
        <v>10.94</v>
      </c>
      <c r="S20" s="1">
        <v>0.5</v>
      </c>
      <c r="T20" s="9">
        <f>+S20*R20</f>
        <v>5.47</v>
      </c>
      <c r="U20" s="9">
        <v>1</v>
      </c>
    </row>
    <row r="21" spans="1:21" x14ac:dyDescent="0.25">
      <c r="A21" s="1" t="s">
        <v>54</v>
      </c>
      <c r="B21" s="1">
        <v>64.89</v>
      </c>
      <c r="C21" s="9"/>
      <c r="D21" s="9"/>
      <c r="E21" s="9">
        <f>+B21</f>
        <v>64.89</v>
      </c>
      <c r="F21" s="9"/>
      <c r="G21" s="9"/>
      <c r="H21" s="9"/>
      <c r="I21" s="14"/>
      <c r="J21" s="14"/>
      <c r="K21" s="9">
        <v>7.91</v>
      </c>
      <c r="L21" s="9"/>
      <c r="M21" s="9"/>
      <c r="N21" s="9"/>
      <c r="O21" s="1"/>
      <c r="P21" s="1"/>
      <c r="Q21" s="9"/>
      <c r="R21" s="1">
        <f>3.66+13.74+7.47+5.76</f>
        <v>30.629999999999995</v>
      </c>
      <c r="S21" s="1">
        <v>0.5</v>
      </c>
      <c r="T21" s="9">
        <f>+S21*R21</f>
        <v>15.314999999999998</v>
      </c>
      <c r="U21" s="9">
        <v>2</v>
      </c>
    </row>
    <row r="22" spans="1:21" x14ac:dyDescent="0.25">
      <c r="A22" s="1" t="s">
        <v>82</v>
      </c>
      <c r="B22" s="1">
        <v>10.91</v>
      </c>
      <c r="C22" s="9"/>
      <c r="D22" s="9"/>
      <c r="E22" s="9"/>
      <c r="F22" s="9"/>
      <c r="G22" s="9"/>
      <c r="H22" s="9">
        <f>+B22</f>
        <v>10.91</v>
      </c>
      <c r="I22" s="14"/>
      <c r="J22" s="14"/>
      <c r="K22" s="9"/>
      <c r="L22" s="9"/>
      <c r="M22" s="9"/>
      <c r="N22" s="9"/>
      <c r="O22" s="1"/>
      <c r="P22" s="1"/>
      <c r="Q22" s="9"/>
      <c r="R22" s="1"/>
      <c r="S22" s="1"/>
      <c r="T22" s="9"/>
      <c r="U22" s="9"/>
    </row>
    <row r="23" spans="1:21" x14ac:dyDescent="0.25">
      <c r="A23" s="1" t="s">
        <v>56</v>
      </c>
      <c r="B23" s="1">
        <v>19.399999999999999</v>
      </c>
      <c r="C23" s="9"/>
      <c r="D23" s="9"/>
      <c r="E23" s="9"/>
      <c r="F23" s="9"/>
      <c r="G23" s="9"/>
      <c r="H23" s="9">
        <f>+B23</f>
        <v>19.399999999999999</v>
      </c>
      <c r="I23" s="14"/>
      <c r="J23" s="14"/>
      <c r="K23" s="9"/>
      <c r="L23" s="9"/>
      <c r="M23" s="9"/>
      <c r="N23" s="9"/>
      <c r="O23" s="1"/>
      <c r="P23" s="1"/>
      <c r="Q23" s="9"/>
      <c r="R23" s="1"/>
      <c r="S23" s="1"/>
      <c r="T23" s="9"/>
      <c r="U23" s="9"/>
    </row>
    <row r="24" spans="1:21" x14ac:dyDescent="0.25">
      <c r="A24" s="1" t="s">
        <v>11</v>
      </c>
      <c r="B24" s="1">
        <v>12</v>
      </c>
      <c r="C24" s="9"/>
      <c r="D24" s="9"/>
      <c r="E24" s="9">
        <f>+B24</f>
        <v>12</v>
      </c>
      <c r="F24" s="9"/>
      <c r="G24" s="9"/>
      <c r="H24" s="9"/>
      <c r="I24" s="14"/>
      <c r="J24" s="14"/>
      <c r="K24" s="9"/>
      <c r="L24" s="9"/>
      <c r="M24" s="9"/>
      <c r="N24" s="9"/>
      <c r="O24" s="1"/>
      <c r="P24" s="1"/>
      <c r="Q24" s="9"/>
      <c r="R24" s="1"/>
      <c r="S24" s="1"/>
      <c r="T24" s="9"/>
      <c r="U24" s="9"/>
    </row>
    <row r="25" spans="1:21" x14ac:dyDescent="0.25">
      <c r="A25" s="59" t="s">
        <v>61</v>
      </c>
      <c r="B25" s="60"/>
      <c r="C25" s="61" t="s">
        <v>83</v>
      </c>
      <c r="D25" s="62"/>
      <c r="E25" s="18">
        <f>SUM(E7:E24)</f>
        <v>192.06</v>
      </c>
      <c r="F25" s="63" t="s">
        <v>84</v>
      </c>
      <c r="G25" s="64"/>
      <c r="H25" s="20">
        <f>SUM(H7:H24)</f>
        <v>78.930000000000007</v>
      </c>
      <c r="I25" s="57">
        <f>+(I20+I16+I13+I11+I9+I8+J8+J11+J9+J13+J16+J20)*2</f>
        <v>52.499999999999993</v>
      </c>
      <c r="J25" s="57"/>
      <c r="K25" s="22">
        <f>SUM(K7:K24)</f>
        <v>26.880700000000001</v>
      </c>
      <c r="L25" s="65" t="s">
        <v>86</v>
      </c>
      <c r="M25" s="66"/>
      <c r="N25" s="19">
        <f>SUM(N7:N24)</f>
        <v>2.0096000000000003</v>
      </c>
      <c r="O25" s="72">
        <f>+(O16+O13+P13+P16)*2</f>
        <v>71.680000000000007</v>
      </c>
      <c r="P25" s="72"/>
      <c r="Q25" s="23">
        <f>+O16+O13</f>
        <v>34.64</v>
      </c>
      <c r="R25" s="72">
        <f>+(R21+R20+S20+S21)*2</f>
        <v>85.139999999999986</v>
      </c>
      <c r="S25" s="72"/>
      <c r="T25" s="23">
        <f>+R21+R20</f>
        <v>41.569999999999993</v>
      </c>
      <c r="U25" s="24" t="s">
        <v>89</v>
      </c>
    </row>
    <row r="26" spans="1:21" x14ac:dyDescent="0.25">
      <c r="I26" s="55" t="s">
        <v>85</v>
      </c>
      <c r="J26" s="56"/>
      <c r="K26" s="56"/>
      <c r="O26" s="71" t="s">
        <v>87</v>
      </c>
      <c r="P26" s="71"/>
      <c r="Q26" s="71"/>
      <c r="R26" s="71" t="s">
        <v>88</v>
      </c>
      <c r="S26" s="71"/>
      <c r="T26" s="71"/>
    </row>
  </sheetData>
  <mergeCells count="17">
    <mergeCell ref="R5:T5"/>
    <mergeCell ref="I26:K26"/>
    <mergeCell ref="I25:J25"/>
    <mergeCell ref="R4:U4"/>
    <mergeCell ref="A25:B25"/>
    <mergeCell ref="C25:D25"/>
    <mergeCell ref="F25:G25"/>
    <mergeCell ref="L25:M25"/>
    <mergeCell ref="I5:K5"/>
    <mergeCell ref="L5:N5"/>
    <mergeCell ref="O5:Q5"/>
    <mergeCell ref="F5:H5"/>
    <mergeCell ref="C5:E5"/>
    <mergeCell ref="O26:Q26"/>
    <mergeCell ref="O25:P25"/>
    <mergeCell ref="R26:T26"/>
    <mergeCell ref="R25:S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3"/>
  <sheetViews>
    <sheetView topLeftCell="H13" workbookViewId="0">
      <selection activeCell="R32" sqref="R32:S32"/>
    </sheetView>
  </sheetViews>
  <sheetFormatPr baseColWidth="10" defaultRowHeight="15.75" x14ac:dyDescent="0.25"/>
  <cols>
    <col min="1" max="1" width="18.25" bestFit="1" customWidth="1"/>
    <col min="3" max="5" width="11.625" customWidth="1"/>
    <col min="6" max="8" width="11.25" customWidth="1"/>
    <col min="9" max="10" width="11" style="15"/>
    <col min="11" max="11" width="11" style="11"/>
    <col min="14" max="14" width="11" style="11"/>
    <col min="15" max="15" width="12.25" customWidth="1"/>
    <col min="17" max="17" width="8.875" style="11" customWidth="1"/>
    <col min="20" max="20" width="11" style="11"/>
  </cols>
  <sheetData>
    <row r="2" spans="1:21" x14ac:dyDescent="0.25">
      <c r="A2" s="4" t="s">
        <v>67</v>
      </c>
    </row>
    <row r="3" spans="1:21" x14ac:dyDescent="0.25">
      <c r="A3" s="4"/>
    </row>
    <row r="4" spans="1:21" x14ac:dyDescent="0.25">
      <c r="A4" s="5" t="s">
        <v>68</v>
      </c>
      <c r="R4" s="58" t="s">
        <v>78</v>
      </c>
      <c r="S4" s="58"/>
      <c r="T4" s="58"/>
      <c r="U4" s="58"/>
    </row>
    <row r="5" spans="1:21" ht="47.25" customHeight="1" x14ac:dyDescent="0.25">
      <c r="C5" s="67" t="s">
        <v>69</v>
      </c>
      <c r="D5" s="68"/>
      <c r="E5" s="69"/>
      <c r="F5" s="67" t="s">
        <v>71</v>
      </c>
      <c r="G5" s="68"/>
      <c r="H5" s="69"/>
      <c r="I5" s="67" t="s">
        <v>75</v>
      </c>
      <c r="J5" s="68"/>
      <c r="K5" s="69"/>
      <c r="L5" s="67" t="s">
        <v>76</v>
      </c>
      <c r="M5" s="68"/>
      <c r="N5" s="69"/>
      <c r="O5" s="70" t="s">
        <v>92</v>
      </c>
      <c r="P5" s="70"/>
      <c r="Q5" s="70"/>
      <c r="R5" s="70" t="s">
        <v>80</v>
      </c>
      <c r="S5" s="70"/>
      <c r="T5" s="70"/>
      <c r="U5" s="7" t="s">
        <v>79</v>
      </c>
    </row>
    <row r="6" spans="1:21" x14ac:dyDescent="0.25">
      <c r="A6" s="6" t="s">
        <v>90</v>
      </c>
      <c r="B6" s="6" t="s">
        <v>70</v>
      </c>
      <c r="C6" s="6" t="s">
        <v>72</v>
      </c>
      <c r="D6" s="6" t="s">
        <v>73</v>
      </c>
      <c r="E6" s="12" t="s">
        <v>77</v>
      </c>
      <c r="F6" s="6" t="s">
        <v>72</v>
      </c>
      <c r="G6" s="6" t="s">
        <v>73</v>
      </c>
      <c r="H6" s="12" t="s">
        <v>77</v>
      </c>
      <c r="I6" s="16" t="s">
        <v>72</v>
      </c>
      <c r="J6" s="16" t="s">
        <v>73</v>
      </c>
      <c r="K6" s="12" t="s">
        <v>77</v>
      </c>
      <c r="L6" s="6" t="s">
        <v>72</v>
      </c>
      <c r="M6" s="6" t="s">
        <v>73</v>
      </c>
      <c r="N6" s="12" t="s">
        <v>77</v>
      </c>
      <c r="O6" s="6" t="s">
        <v>72</v>
      </c>
      <c r="P6" s="6" t="s">
        <v>73</v>
      </c>
      <c r="Q6" s="13" t="s">
        <v>77</v>
      </c>
      <c r="R6" s="6" t="s">
        <v>72</v>
      </c>
      <c r="S6" s="6" t="s">
        <v>73</v>
      </c>
      <c r="T6" s="13" t="s">
        <v>77</v>
      </c>
      <c r="U6" s="6" t="s">
        <v>81</v>
      </c>
    </row>
    <row r="7" spans="1:21" x14ac:dyDescent="0.25">
      <c r="A7" s="1" t="s">
        <v>15</v>
      </c>
      <c r="B7" s="1">
        <v>2.7</v>
      </c>
      <c r="C7" s="1"/>
      <c r="D7" s="9"/>
      <c r="E7" s="9"/>
      <c r="F7" s="9"/>
      <c r="G7" s="9"/>
      <c r="H7" s="9">
        <f>+B7</f>
        <v>2.7</v>
      </c>
      <c r="I7" s="14"/>
      <c r="J7" s="14"/>
      <c r="K7" s="9"/>
      <c r="L7" s="9"/>
      <c r="M7" s="9"/>
      <c r="N7" s="9"/>
      <c r="O7" s="1"/>
      <c r="P7" s="1"/>
      <c r="Q7" s="9"/>
      <c r="R7" s="1"/>
      <c r="S7" s="1"/>
      <c r="T7" s="9"/>
      <c r="U7" s="9"/>
    </row>
    <row r="8" spans="1:21" x14ac:dyDescent="0.25">
      <c r="A8" s="1" t="s">
        <v>16</v>
      </c>
      <c r="B8" s="1">
        <v>4.7699999999999996</v>
      </c>
      <c r="C8" s="1"/>
      <c r="D8" s="9"/>
      <c r="E8" s="9"/>
      <c r="F8" s="9"/>
      <c r="G8" s="9"/>
      <c r="H8" s="9">
        <f>+B8</f>
        <v>4.7699999999999996</v>
      </c>
      <c r="I8" s="14"/>
      <c r="J8" s="14"/>
      <c r="K8" s="9"/>
      <c r="L8" s="9"/>
      <c r="M8" s="9"/>
      <c r="N8" s="9"/>
      <c r="O8" s="1"/>
      <c r="P8" s="1"/>
      <c r="Q8" s="9"/>
      <c r="R8" s="1"/>
      <c r="S8" s="1"/>
      <c r="T8" s="9"/>
      <c r="U8" s="9"/>
    </row>
    <row r="9" spans="1:21" x14ac:dyDescent="0.25">
      <c r="A9" s="1" t="s">
        <v>17</v>
      </c>
      <c r="B9" s="1">
        <v>15.39</v>
      </c>
      <c r="C9" s="1"/>
      <c r="D9" s="9"/>
      <c r="E9" s="9">
        <f>+B9</f>
        <v>15.39</v>
      </c>
      <c r="F9" s="1"/>
      <c r="G9" s="9"/>
      <c r="H9" s="9"/>
      <c r="I9" s="14"/>
      <c r="J9" s="14"/>
      <c r="K9" s="9"/>
      <c r="L9" s="9"/>
      <c r="M9" s="9"/>
      <c r="N9" s="9"/>
      <c r="O9" s="1">
        <v>6.1</v>
      </c>
      <c r="P9" s="1">
        <v>0.6</v>
      </c>
      <c r="Q9" s="9">
        <f>+P9*O9</f>
        <v>3.6599999999999997</v>
      </c>
      <c r="R9" s="1"/>
      <c r="S9" s="1"/>
      <c r="T9" s="9"/>
      <c r="U9" s="9"/>
    </row>
    <row r="10" spans="1:21" x14ac:dyDescent="0.25">
      <c r="A10" s="1" t="s">
        <v>18</v>
      </c>
      <c r="B10" s="1">
        <v>2.04</v>
      </c>
      <c r="C10" s="1"/>
      <c r="D10" s="9"/>
      <c r="E10" s="9"/>
      <c r="F10" s="1"/>
      <c r="G10" s="9"/>
      <c r="H10" s="9">
        <f>+B10</f>
        <v>2.04</v>
      </c>
      <c r="I10" s="14"/>
      <c r="J10" s="14"/>
      <c r="K10" s="9"/>
      <c r="L10" s="9"/>
      <c r="M10" s="9"/>
      <c r="N10" s="9"/>
      <c r="O10" s="1"/>
      <c r="P10" s="1"/>
      <c r="Q10" s="9"/>
      <c r="R10" s="1"/>
      <c r="S10" s="1"/>
      <c r="T10" s="9"/>
      <c r="U10" s="9"/>
    </row>
    <row r="11" spans="1:21" x14ac:dyDescent="0.25">
      <c r="A11" s="1" t="s">
        <v>19</v>
      </c>
      <c r="B11" s="1">
        <v>2.62</v>
      </c>
      <c r="C11" s="8"/>
      <c r="D11" s="25"/>
      <c r="E11" s="25">
        <f>+B11</f>
        <v>2.62</v>
      </c>
      <c r="F11" s="25"/>
      <c r="G11" s="25"/>
      <c r="H11" s="25"/>
      <c r="I11" s="26"/>
      <c r="J11" s="26"/>
      <c r="K11" s="25"/>
      <c r="L11" s="25"/>
      <c r="M11" s="25"/>
      <c r="N11" s="25"/>
      <c r="O11" s="1"/>
      <c r="P11" s="1"/>
      <c r="Q11" s="9"/>
      <c r="R11" s="1"/>
      <c r="S11" s="1"/>
      <c r="T11" s="9"/>
      <c r="U11" s="9"/>
    </row>
    <row r="12" spans="1:21" x14ac:dyDescent="0.25">
      <c r="A12" s="1" t="s">
        <v>16</v>
      </c>
      <c r="B12" s="1">
        <v>4.5</v>
      </c>
      <c r="C12" s="8"/>
      <c r="D12" s="25"/>
      <c r="E12" s="25"/>
      <c r="F12" s="25"/>
      <c r="G12" s="25"/>
      <c r="H12" s="25">
        <f>+B12</f>
        <v>4.5</v>
      </c>
      <c r="I12" s="26"/>
      <c r="J12" s="26"/>
      <c r="K12" s="25"/>
      <c r="L12" s="25"/>
      <c r="M12" s="25"/>
      <c r="N12" s="25"/>
      <c r="O12" s="1"/>
      <c r="P12" s="1"/>
      <c r="Q12" s="9"/>
      <c r="R12" s="1"/>
      <c r="S12" s="1"/>
      <c r="T12" s="9"/>
      <c r="U12" s="9"/>
    </row>
    <row r="13" spans="1:21" x14ac:dyDescent="0.25">
      <c r="A13" s="1" t="s">
        <v>20</v>
      </c>
      <c r="B13" s="1">
        <v>15.79</v>
      </c>
      <c r="C13" s="1"/>
      <c r="D13" s="9"/>
      <c r="E13" s="9">
        <f>+B13</f>
        <v>15.79</v>
      </c>
      <c r="F13" s="9"/>
      <c r="G13" s="9"/>
      <c r="H13" s="9"/>
      <c r="I13" s="14"/>
      <c r="J13" s="14"/>
      <c r="K13" s="9"/>
      <c r="L13" s="1"/>
      <c r="M13" s="1"/>
      <c r="N13" s="9"/>
      <c r="O13" s="1">
        <v>2.91</v>
      </c>
      <c r="P13" s="1">
        <v>0.6</v>
      </c>
      <c r="Q13" s="9">
        <f>+P13*O13</f>
        <v>1.746</v>
      </c>
      <c r="R13" s="1">
        <v>4.1100000000000003</v>
      </c>
      <c r="S13" s="1">
        <v>0.5</v>
      </c>
      <c r="T13" s="9">
        <f>+S13*R13</f>
        <v>2.0550000000000002</v>
      </c>
      <c r="U13" s="9"/>
    </row>
    <row r="14" spans="1:21" x14ac:dyDescent="0.25">
      <c r="A14" s="1" t="s">
        <v>21</v>
      </c>
      <c r="B14" s="1">
        <v>3.99</v>
      </c>
      <c r="C14" s="9"/>
      <c r="D14" s="9"/>
      <c r="E14" s="9"/>
      <c r="F14" s="9"/>
      <c r="G14" s="9"/>
      <c r="H14" s="9">
        <f>+B14</f>
        <v>3.99</v>
      </c>
      <c r="I14" s="14"/>
      <c r="J14" s="14"/>
      <c r="K14" s="9"/>
      <c r="L14" s="9"/>
      <c r="M14" s="9"/>
      <c r="N14" s="9"/>
      <c r="O14" s="1"/>
      <c r="P14" s="1"/>
      <c r="Q14" s="9"/>
      <c r="R14" s="1"/>
      <c r="S14" s="1"/>
      <c r="T14" s="9"/>
      <c r="U14" s="9"/>
    </row>
    <row r="15" spans="1:21" x14ac:dyDescent="0.25">
      <c r="A15" s="1" t="s">
        <v>22</v>
      </c>
      <c r="B15" s="1">
        <v>3.99</v>
      </c>
      <c r="C15" s="9"/>
      <c r="D15" s="9"/>
      <c r="E15" s="9"/>
      <c r="F15" s="9"/>
      <c r="G15" s="9"/>
      <c r="H15" s="9">
        <f>+B15</f>
        <v>3.99</v>
      </c>
      <c r="I15" s="14"/>
      <c r="J15" s="14"/>
      <c r="K15" s="9"/>
      <c r="L15" s="9"/>
      <c r="M15" s="9"/>
      <c r="N15" s="9"/>
      <c r="O15" s="1"/>
      <c r="P15" s="1"/>
      <c r="Q15" s="9"/>
      <c r="R15" s="1"/>
      <c r="S15" s="1"/>
      <c r="T15" s="9"/>
      <c r="U15" s="9"/>
    </row>
    <row r="16" spans="1:21" x14ac:dyDescent="0.25">
      <c r="A16" s="1" t="s">
        <v>23</v>
      </c>
      <c r="B16" s="1">
        <v>17.22</v>
      </c>
      <c r="C16" s="9"/>
      <c r="D16" s="9"/>
      <c r="E16" s="9">
        <f>+B16</f>
        <v>17.22</v>
      </c>
      <c r="F16" s="9"/>
      <c r="G16" s="9"/>
      <c r="H16" s="9"/>
      <c r="I16" s="14"/>
      <c r="J16" s="14"/>
      <c r="K16" s="9"/>
      <c r="L16" s="9"/>
      <c r="M16" s="9"/>
      <c r="N16" s="9"/>
      <c r="O16" s="1">
        <v>6.78</v>
      </c>
      <c r="P16" s="1">
        <v>0.4</v>
      </c>
      <c r="Q16" s="9">
        <f>+P16*O16</f>
        <v>2.7120000000000002</v>
      </c>
      <c r="R16" s="1">
        <v>4.1100000000000003</v>
      </c>
      <c r="S16" s="1">
        <v>0.5</v>
      </c>
      <c r="T16" s="9">
        <f>+S16*R16</f>
        <v>2.0550000000000002</v>
      </c>
      <c r="U16" s="9"/>
    </row>
    <row r="17" spans="1:21" x14ac:dyDescent="0.25">
      <c r="A17" s="1" t="s">
        <v>24</v>
      </c>
      <c r="B17" s="1">
        <v>5.09</v>
      </c>
      <c r="C17" s="9"/>
      <c r="D17" s="9"/>
      <c r="E17" s="9"/>
      <c r="F17" s="9"/>
      <c r="G17" s="9"/>
      <c r="H17" s="9">
        <f>+B17</f>
        <v>5.09</v>
      </c>
      <c r="I17" s="14"/>
      <c r="J17" s="14"/>
      <c r="K17" s="9"/>
      <c r="L17" s="9"/>
      <c r="M17" s="9"/>
      <c r="N17" s="9"/>
      <c r="O17" s="1"/>
      <c r="P17" s="1"/>
      <c r="Q17" s="9"/>
      <c r="R17" s="1"/>
      <c r="S17" s="1"/>
      <c r="T17" s="9"/>
      <c r="U17" s="9"/>
    </row>
    <row r="18" spans="1:21" x14ac:dyDescent="0.25">
      <c r="A18" s="1" t="s">
        <v>27</v>
      </c>
      <c r="B18" s="1">
        <v>23.84</v>
      </c>
      <c r="C18" s="9"/>
      <c r="D18" s="9"/>
      <c r="E18" s="9">
        <f>+B18</f>
        <v>23.84</v>
      </c>
      <c r="F18" s="9"/>
      <c r="G18" s="9"/>
      <c r="H18" s="9"/>
      <c r="I18" s="14"/>
      <c r="J18" s="14"/>
      <c r="K18" s="9"/>
      <c r="L18" s="9"/>
      <c r="M18" s="9"/>
      <c r="N18" s="9"/>
      <c r="O18" s="1">
        <v>5.34</v>
      </c>
      <c r="P18" s="1">
        <v>0.6</v>
      </c>
      <c r="Q18" s="9">
        <f>+P18*O18</f>
        <v>3.2039999999999997</v>
      </c>
      <c r="R18" s="1">
        <v>1.41</v>
      </c>
      <c r="S18" s="1">
        <v>0.5</v>
      </c>
      <c r="T18" s="9">
        <f>+S18*R18</f>
        <v>0.70499999999999996</v>
      </c>
      <c r="U18" s="9"/>
    </row>
    <row r="19" spans="1:21" x14ac:dyDescent="0.25">
      <c r="A19" s="1" t="s">
        <v>25</v>
      </c>
      <c r="B19" s="1">
        <v>10.93</v>
      </c>
      <c r="C19" s="9"/>
      <c r="D19" s="9"/>
      <c r="E19" s="9"/>
      <c r="F19" s="9"/>
      <c r="G19" s="9"/>
      <c r="H19" s="9">
        <f>+B19</f>
        <v>10.93</v>
      </c>
      <c r="I19" s="14"/>
      <c r="J19" s="14"/>
      <c r="K19" s="9"/>
      <c r="L19" s="9"/>
      <c r="M19" s="9"/>
      <c r="N19" s="9"/>
      <c r="O19" s="1"/>
      <c r="P19" s="1"/>
      <c r="Q19" s="9"/>
      <c r="R19" s="1"/>
      <c r="S19" s="1"/>
      <c r="T19" s="9"/>
      <c r="U19" s="9"/>
    </row>
    <row r="20" spans="1:21" x14ac:dyDescent="0.25">
      <c r="A20" s="1" t="s">
        <v>26</v>
      </c>
      <c r="B20" s="1">
        <v>9.76</v>
      </c>
      <c r="C20" s="9"/>
      <c r="D20" s="9"/>
      <c r="E20" s="9"/>
      <c r="F20" s="9"/>
      <c r="G20" s="9"/>
      <c r="H20" s="9">
        <f>+B20</f>
        <v>9.76</v>
      </c>
      <c r="I20" s="14"/>
      <c r="J20" s="14"/>
      <c r="K20" s="9"/>
      <c r="L20" s="9"/>
      <c r="M20" s="9"/>
      <c r="N20" s="9"/>
      <c r="O20" s="1"/>
      <c r="P20" s="1"/>
      <c r="Q20" s="9"/>
      <c r="R20" s="1"/>
      <c r="S20" s="1"/>
      <c r="T20" s="9"/>
      <c r="U20" s="9"/>
    </row>
    <row r="21" spans="1:21" x14ac:dyDescent="0.25">
      <c r="A21" s="1" t="s">
        <v>38</v>
      </c>
      <c r="B21" s="1">
        <v>5.31</v>
      </c>
      <c r="C21" s="9"/>
      <c r="D21" s="9"/>
      <c r="E21" s="9"/>
      <c r="F21" s="9"/>
      <c r="G21" s="9"/>
      <c r="H21" s="9">
        <f>+B21</f>
        <v>5.31</v>
      </c>
      <c r="I21" s="14"/>
      <c r="J21" s="14"/>
      <c r="K21" s="9"/>
      <c r="L21" s="9"/>
      <c r="M21" s="9"/>
      <c r="N21" s="9"/>
      <c r="O21" s="1"/>
      <c r="P21" s="1"/>
      <c r="Q21" s="9"/>
      <c r="R21" s="1"/>
      <c r="S21" s="1"/>
      <c r="T21" s="9"/>
      <c r="U21" s="9"/>
    </row>
    <row r="22" spans="1:21" x14ac:dyDescent="0.25">
      <c r="A22" s="1" t="s">
        <v>28</v>
      </c>
      <c r="B22" s="1">
        <v>20.59</v>
      </c>
      <c r="C22" s="9"/>
      <c r="D22" s="9"/>
      <c r="E22" s="9">
        <f>+B22</f>
        <v>20.59</v>
      </c>
      <c r="F22" s="9"/>
      <c r="G22" s="9"/>
      <c r="H22" s="9"/>
      <c r="I22" s="14">
        <v>14.48</v>
      </c>
      <c r="J22" s="14">
        <v>0.6</v>
      </c>
      <c r="K22" s="9">
        <f>+J22*I22</f>
        <v>8.6880000000000006</v>
      </c>
      <c r="L22" s="9"/>
      <c r="M22" s="9"/>
      <c r="N22" s="9"/>
      <c r="O22" s="1"/>
      <c r="P22" s="1"/>
      <c r="Q22" s="9"/>
      <c r="R22" s="1">
        <f>14.48+1.24+1.24+3.26+3.26</f>
        <v>23.479999999999997</v>
      </c>
      <c r="S22" s="1">
        <v>0.5</v>
      </c>
      <c r="T22" s="9">
        <f>+S22*R22</f>
        <v>11.739999999999998</v>
      </c>
      <c r="U22" s="9"/>
    </row>
    <row r="23" spans="1:21" x14ac:dyDescent="0.25">
      <c r="A23" s="1" t="s">
        <v>29</v>
      </c>
      <c r="B23" s="1">
        <v>4.9800000000000004</v>
      </c>
      <c r="C23" s="9"/>
      <c r="D23" s="9"/>
      <c r="E23" s="9"/>
      <c r="F23" s="9"/>
      <c r="G23" s="9"/>
      <c r="H23" s="9">
        <f>+B23</f>
        <v>4.9800000000000004</v>
      </c>
      <c r="I23" s="14"/>
      <c r="J23" s="14"/>
      <c r="K23" s="9"/>
      <c r="L23" s="9"/>
      <c r="M23" s="9"/>
      <c r="N23" s="9"/>
      <c r="O23" s="1"/>
      <c r="P23" s="1"/>
      <c r="Q23" s="9"/>
      <c r="R23" s="1"/>
      <c r="S23" s="1"/>
      <c r="T23" s="9"/>
      <c r="U23" s="9"/>
    </row>
    <row r="24" spans="1:21" x14ac:dyDescent="0.25">
      <c r="A24" s="1" t="s">
        <v>30</v>
      </c>
      <c r="B24" s="1">
        <v>14.6</v>
      </c>
      <c r="C24" s="9"/>
      <c r="D24" s="9"/>
      <c r="E24" s="9">
        <f>+B24</f>
        <v>14.6</v>
      </c>
      <c r="F24" s="9"/>
      <c r="G24" s="9"/>
      <c r="H24" s="9"/>
      <c r="I24" s="14"/>
      <c r="J24" s="14"/>
      <c r="K24" s="9"/>
      <c r="L24" s="9"/>
      <c r="M24" s="9"/>
      <c r="N24" s="9"/>
      <c r="O24" s="1"/>
      <c r="P24" s="1"/>
      <c r="Q24" s="9"/>
      <c r="R24" s="1">
        <v>6.5</v>
      </c>
      <c r="S24" s="1">
        <v>0.5</v>
      </c>
      <c r="T24" s="9">
        <f>+S24*R24</f>
        <v>3.25</v>
      </c>
      <c r="U24" s="9"/>
    </row>
    <row r="25" spans="1:21" x14ac:dyDescent="0.25">
      <c r="A25" s="1" t="s">
        <v>32</v>
      </c>
      <c r="B25" s="1">
        <v>16.95</v>
      </c>
      <c r="C25" s="9"/>
      <c r="D25" s="9"/>
      <c r="E25" s="9">
        <f>+B25</f>
        <v>16.95</v>
      </c>
      <c r="F25" s="9"/>
      <c r="G25" s="9"/>
      <c r="H25" s="9"/>
      <c r="I25" s="14"/>
      <c r="J25" s="14"/>
      <c r="K25" s="9"/>
      <c r="L25" s="9"/>
      <c r="M25" s="9"/>
      <c r="N25" s="9"/>
      <c r="O25" s="1">
        <v>13.52</v>
      </c>
      <c r="P25" s="1">
        <v>0.4</v>
      </c>
      <c r="Q25" s="9">
        <f>+P25*O25</f>
        <v>5.4080000000000004</v>
      </c>
      <c r="R25" s="1"/>
      <c r="S25" s="1"/>
      <c r="T25" s="9"/>
      <c r="U25" s="9"/>
    </row>
    <row r="26" spans="1:21" x14ac:dyDescent="0.25">
      <c r="A26" s="1" t="s">
        <v>33</v>
      </c>
      <c r="B26" s="1">
        <v>3.09</v>
      </c>
      <c r="C26" s="1"/>
      <c r="D26" s="1"/>
      <c r="E26" s="9">
        <f>+B26</f>
        <v>3.09</v>
      </c>
      <c r="F26" s="1"/>
      <c r="G26" s="1"/>
      <c r="H26" s="1"/>
      <c r="I26" s="14"/>
      <c r="J26" s="14"/>
      <c r="K26" s="9"/>
      <c r="L26" s="1"/>
      <c r="M26" s="1"/>
      <c r="N26" s="9"/>
      <c r="O26" s="1"/>
      <c r="P26" s="1"/>
      <c r="Q26" s="9"/>
      <c r="R26" s="1"/>
      <c r="S26" s="1"/>
      <c r="T26" s="9"/>
      <c r="U26" s="1"/>
    </row>
    <row r="27" spans="1:21" x14ac:dyDescent="0.25">
      <c r="A27" s="1" t="s">
        <v>34</v>
      </c>
      <c r="B27" s="1">
        <v>14</v>
      </c>
      <c r="C27" s="1"/>
      <c r="D27" s="1"/>
      <c r="E27" s="9">
        <f>+B27</f>
        <v>14</v>
      </c>
      <c r="F27" s="1"/>
      <c r="G27" s="1"/>
      <c r="H27" s="1"/>
      <c r="I27" s="14"/>
      <c r="J27" s="14"/>
      <c r="K27" s="9"/>
      <c r="L27" s="1"/>
      <c r="M27" s="1"/>
      <c r="N27" s="9"/>
      <c r="O27" s="1"/>
      <c r="P27" s="1"/>
      <c r="Q27" s="9"/>
      <c r="R27" s="1"/>
      <c r="S27" s="1"/>
      <c r="T27" s="9"/>
      <c r="U27" s="1"/>
    </row>
    <row r="28" spans="1:21" x14ac:dyDescent="0.25">
      <c r="A28" s="1" t="s">
        <v>35</v>
      </c>
      <c r="B28" s="1">
        <v>27.46</v>
      </c>
      <c r="C28" s="1"/>
      <c r="D28" s="1"/>
      <c r="E28" s="9">
        <f>+B28</f>
        <v>27.46</v>
      </c>
      <c r="F28" s="1"/>
      <c r="G28" s="1"/>
      <c r="H28" s="1"/>
      <c r="I28" s="14"/>
      <c r="J28" s="14"/>
      <c r="K28" s="9"/>
      <c r="L28" s="1"/>
      <c r="M28" s="1"/>
      <c r="N28" s="9"/>
      <c r="O28" s="1">
        <v>10.08</v>
      </c>
      <c r="P28" s="1">
        <v>0.6</v>
      </c>
      <c r="Q28" s="9">
        <f>+P28*O28</f>
        <v>6.048</v>
      </c>
      <c r="R28" s="1">
        <v>6.34</v>
      </c>
      <c r="S28" s="1">
        <v>0.5</v>
      </c>
      <c r="T28" s="9">
        <f>+S28*R28</f>
        <v>3.17</v>
      </c>
      <c r="U28" s="1"/>
    </row>
    <row r="29" spans="1:21" x14ac:dyDescent="0.25">
      <c r="A29" s="1" t="s">
        <v>36</v>
      </c>
      <c r="B29" s="1">
        <v>14.6</v>
      </c>
      <c r="C29" s="1"/>
      <c r="D29" s="1"/>
      <c r="E29" s="9"/>
      <c r="F29" s="1"/>
      <c r="G29" s="1"/>
      <c r="H29" s="9">
        <f>+B29</f>
        <v>14.6</v>
      </c>
      <c r="I29" s="14"/>
      <c r="J29" s="14"/>
      <c r="K29" s="9"/>
      <c r="L29" s="1"/>
      <c r="M29" s="1"/>
      <c r="N29" s="9"/>
      <c r="O29" s="1">
        <v>12.66</v>
      </c>
      <c r="P29" s="1">
        <v>0.6</v>
      </c>
      <c r="Q29" s="9">
        <f>+P29*O29</f>
        <v>7.5960000000000001</v>
      </c>
      <c r="R29" s="1"/>
      <c r="S29" s="1"/>
      <c r="T29" s="9"/>
      <c r="U29" s="1"/>
    </row>
    <row r="30" spans="1:21" x14ac:dyDescent="0.25">
      <c r="A30" s="1" t="s">
        <v>37</v>
      </c>
      <c r="B30" s="1">
        <v>19.96</v>
      </c>
      <c r="C30" s="1"/>
      <c r="D30" s="1"/>
      <c r="E30" s="9"/>
      <c r="F30" s="1"/>
      <c r="G30" s="1"/>
      <c r="H30" s="9">
        <f>+B30</f>
        <v>19.96</v>
      </c>
      <c r="I30" s="14"/>
      <c r="J30" s="14"/>
      <c r="K30" s="9"/>
      <c r="L30" s="1"/>
      <c r="M30" s="1"/>
      <c r="N30" s="9"/>
      <c r="O30" s="1"/>
      <c r="P30" s="1"/>
      <c r="Q30" s="9"/>
      <c r="R30" s="1"/>
      <c r="S30" s="1"/>
      <c r="T30" s="9"/>
      <c r="U30" s="1"/>
    </row>
    <row r="31" spans="1:21" x14ac:dyDescent="0.25">
      <c r="A31" s="1" t="s">
        <v>34</v>
      </c>
      <c r="B31" s="1">
        <v>15</v>
      </c>
      <c r="C31" s="1"/>
      <c r="D31" s="1"/>
      <c r="E31" s="9">
        <f>+B31</f>
        <v>15</v>
      </c>
      <c r="F31" s="1"/>
      <c r="G31" s="1"/>
      <c r="H31" s="1"/>
      <c r="I31" s="14"/>
      <c r="J31" s="14"/>
      <c r="K31" s="9"/>
      <c r="L31" s="1"/>
      <c r="M31" s="1"/>
      <c r="N31" s="9"/>
      <c r="O31" s="1"/>
      <c r="P31" s="1"/>
      <c r="Q31" s="9"/>
      <c r="R31" s="1"/>
      <c r="S31" s="1"/>
      <c r="T31" s="9"/>
      <c r="U31" s="1"/>
    </row>
    <row r="32" spans="1:21" x14ac:dyDescent="0.25">
      <c r="A32" s="59" t="s">
        <v>91</v>
      </c>
      <c r="B32" s="60"/>
      <c r="C32" s="73" t="s">
        <v>83</v>
      </c>
      <c r="D32" s="74"/>
      <c r="E32" s="18">
        <f>SUM(E7:E31)</f>
        <v>186.55</v>
      </c>
      <c r="F32" s="75" t="s">
        <v>84</v>
      </c>
      <c r="G32" s="76"/>
      <c r="H32" s="18">
        <f>SUM(H7:H31)</f>
        <v>92.62</v>
      </c>
      <c r="I32" s="57">
        <f>+(I22+J22)*2</f>
        <v>30.16</v>
      </c>
      <c r="J32" s="57"/>
      <c r="K32" s="18">
        <f>SUM(K7:K31)</f>
        <v>8.6880000000000006</v>
      </c>
      <c r="L32" s="77" t="s">
        <v>86</v>
      </c>
      <c r="M32" s="78"/>
      <c r="N32" s="19">
        <f>SUM(N7:N25)</f>
        <v>0</v>
      </c>
      <c r="O32" s="72">
        <f>+(O29+O28+P29+P28+P25+O25+P18+O18+P16+O16+P13+O13+P9+O9)*2</f>
        <v>122.38</v>
      </c>
      <c r="P32" s="72"/>
      <c r="Q32" s="23">
        <f>SUM(O7:O31)</f>
        <v>57.39</v>
      </c>
      <c r="R32" s="72">
        <f>+(R28+S28+S24+R24+S22+R22+S18+R18+S16+R16+S13+R13)*2</f>
        <v>97.899999999999977</v>
      </c>
      <c r="S32" s="72"/>
      <c r="T32" s="23">
        <f>SUM(R7:R31)</f>
        <v>45.95</v>
      </c>
      <c r="U32" s="24" t="s">
        <v>93</v>
      </c>
    </row>
    <row r="33" spans="9:20" x14ac:dyDescent="0.25">
      <c r="I33" s="55" t="s">
        <v>85</v>
      </c>
      <c r="J33" s="56"/>
      <c r="K33" s="56"/>
      <c r="O33" s="71" t="s">
        <v>87</v>
      </c>
      <c r="P33" s="71"/>
      <c r="Q33" s="71"/>
      <c r="R33" s="71" t="s">
        <v>88</v>
      </c>
      <c r="S33" s="71"/>
      <c r="T33" s="71"/>
    </row>
  </sheetData>
  <mergeCells count="17">
    <mergeCell ref="R4:U4"/>
    <mergeCell ref="C5:E5"/>
    <mergeCell ref="F5:H5"/>
    <mergeCell ref="I5:K5"/>
    <mergeCell ref="L5:N5"/>
    <mergeCell ref="O5:Q5"/>
    <mergeCell ref="R5:T5"/>
    <mergeCell ref="O33:Q33"/>
    <mergeCell ref="O32:P32"/>
    <mergeCell ref="R33:T33"/>
    <mergeCell ref="R32:S32"/>
    <mergeCell ref="A32:B32"/>
    <mergeCell ref="C32:D32"/>
    <mergeCell ref="F32:G32"/>
    <mergeCell ref="L32:M32"/>
    <mergeCell ref="I33:K33"/>
    <mergeCell ref="I32:J3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8"/>
  <sheetViews>
    <sheetView workbookViewId="0">
      <selection activeCell="A8" sqref="A8"/>
    </sheetView>
  </sheetViews>
  <sheetFormatPr baseColWidth="10" defaultRowHeight="15.75" x14ac:dyDescent="0.25"/>
  <cols>
    <col min="1" max="1" width="18.25" bestFit="1" customWidth="1"/>
    <col min="3" max="5" width="11.625" customWidth="1"/>
    <col min="6" max="8" width="11.25" customWidth="1"/>
    <col min="9" max="10" width="11" style="15"/>
    <col min="11" max="11" width="11" style="11"/>
    <col min="14" max="14" width="11" style="11"/>
    <col min="15" max="15" width="12.25" customWidth="1"/>
    <col min="17" max="17" width="8.875" style="11" customWidth="1"/>
    <col min="20" max="20" width="11" style="11"/>
  </cols>
  <sheetData>
    <row r="2" spans="1:21" x14ac:dyDescent="0.25">
      <c r="A2" s="4" t="s">
        <v>67</v>
      </c>
    </row>
    <row r="3" spans="1:21" x14ac:dyDescent="0.25">
      <c r="A3" s="4"/>
    </row>
    <row r="4" spans="1:21" x14ac:dyDescent="0.25">
      <c r="A4" s="5" t="s">
        <v>68</v>
      </c>
      <c r="R4" s="58" t="s">
        <v>78</v>
      </c>
      <c r="S4" s="58"/>
      <c r="T4" s="58"/>
      <c r="U4" s="58"/>
    </row>
    <row r="5" spans="1:21" ht="47.25" customHeight="1" x14ac:dyDescent="0.25">
      <c r="C5" s="70" t="s">
        <v>69</v>
      </c>
      <c r="D5" s="70"/>
      <c r="E5" s="70"/>
      <c r="F5" s="70" t="s">
        <v>71</v>
      </c>
      <c r="G5" s="70"/>
      <c r="H5" s="70"/>
      <c r="I5" s="70" t="s">
        <v>75</v>
      </c>
      <c r="J5" s="70"/>
      <c r="K5" s="70"/>
      <c r="L5" s="70" t="s">
        <v>76</v>
      </c>
      <c r="M5" s="70"/>
      <c r="N5" s="70"/>
      <c r="O5" s="70" t="s">
        <v>92</v>
      </c>
      <c r="P5" s="70"/>
      <c r="Q5" s="70"/>
      <c r="R5" s="70" t="s">
        <v>80</v>
      </c>
      <c r="S5" s="70"/>
      <c r="T5" s="70"/>
      <c r="U5" s="7" t="s">
        <v>79</v>
      </c>
    </row>
    <row r="6" spans="1:21" x14ac:dyDescent="0.25">
      <c r="A6" s="6" t="s">
        <v>94</v>
      </c>
      <c r="B6" s="6" t="s">
        <v>70</v>
      </c>
      <c r="C6" s="6" t="s">
        <v>72</v>
      </c>
      <c r="D6" s="6" t="s">
        <v>73</v>
      </c>
      <c r="E6" s="13" t="s">
        <v>77</v>
      </c>
      <c r="F6" s="6" t="s">
        <v>72</v>
      </c>
      <c r="G6" s="6" t="s">
        <v>73</v>
      </c>
      <c r="H6" s="13" t="s">
        <v>77</v>
      </c>
      <c r="I6" s="16" t="s">
        <v>72</v>
      </c>
      <c r="J6" s="16" t="s">
        <v>73</v>
      </c>
      <c r="K6" s="13" t="s">
        <v>77</v>
      </c>
      <c r="L6" s="6" t="s">
        <v>72</v>
      </c>
      <c r="M6" s="6" t="s">
        <v>73</v>
      </c>
      <c r="N6" s="13" t="s">
        <v>77</v>
      </c>
      <c r="O6" s="6" t="s">
        <v>72</v>
      </c>
      <c r="P6" s="6" t="s">
        <v>73</v>
      </c>
      <c r="Q6" s="13" t="s">
        <v>77</v>
      </c>
      <c r="R6" s="6" t="s">
        <v>72</v>
      </c>
      <c r="S6" s="6" t="s">
        <v>73</v>
      </c>
      <c r="T6" s="13" t="s">
        <v>77</v>
      </c>
      <c r="U6" s="6" t="s">
        <v>81</v>
      </c>
    </row>
    <row r="7" spans="1:21" s="21" customFormat="1" x14ac:dyDescent="0.25">
      <c r="A7" s="27" t="s">
        <v>95</v>
      </c>
      <c r="B7" s="27">
        <v>166</v>
      </c>
      <c r="C7" s="27"/>
      <c r="D7" s="27"/>
      <c r="E7" s="28"/>
      <c r="F7" s="27"/>
      <c r="G7" s="27"/>
      <c r="H7" s="28"/>
      <c r="I7" s="29"/>
      <c r="J7" s="29"/>
      <c r="K7" s="28"/>
      <c r="L7" s="27"/>
      <c r="M7" s="27"/>
      <c r="N7" s="28"/>
      <c r="O7" s="27"/>
      <c r="P7" s="27"/>
      <c r="Q7" s="28"/>
      <c r="R7" s="27"/>
      <c r="S7" s="27"/>
      <c r="T7" s="28"/>
      <c r="U7" s="27"/>
    </row>
    <row r="8" spans="1:21" x14ac:dyDescent="0.25">
      <c r="A8" s="1" t="s">
        <v>40</v>
      </c>
      <c r="B8" s="1">
        <v>18.04</v>
      </c>
      <c r="C8" s="1"/>
      <c r="D8" s="9"/>
      <c r="E8" s="9">
        <f>+B8</f>
        <v>18.04</v>
      </c>
      <c r="F8" s="9"/>
      <c r="G8" s="9"/>
      <c r="H8" s="9"/>
      <c r="I8" s="14">
        <v>2.2999999999999998</v>
      </c>
      <c r="J8" s="14">
        <v>0.3</v>
      </c>
      <c r="K8" s="9">
        <f>+I8*J8*8</f>
        <v>5.52</v>
      </c>
      <c r="L8" s="9"/>
      <c r="M8" s="9"/>
      <c r="N8" s="9"/>
      <c r="O8" s="1"/>
      <c r="P8" s="1"/>
      <c r="Q8" s="9"/>
      <c r="R8" s="1">
        <v>13.24</v>
      </c>
      <c r="S8" s="1">
        <v>0.5</v>
      </c>
      <c r="T8" s="9">
        <f>+S8*R8</f>
        <v>6.62</v>
      </c>
      <c r="U8" s="9"/>
    </row>
    <row r="9" spans="1:21" x14ac:dyDescent="0.25">
      <c r="A9" s="1" t="s">
        <v>10</v>
      </c>
      <c r="B9" s="1">
        <v>6.59</v>
      </c>
      <c r="C9" s="1"/>
      <c r="D9" s="9"/>
      <c r="E9" s="9"/>
      <c r="F9" s="9"/>
      <c r="G9" s="9"/>
      <c r="H9" s="9">
        <f>+B9</f>
        <v>6.59</v>
      </c>
      <c r="I9" s="14"/>
      <c r="J9" s="14"/>
      <c r="K9" s="9"/>
      <c r="L9" s="9"/>
      <c r="M9" s="9"/>
      <c r="N9" s="9"/>
      <c r="O9" s="1"/>
      <c r="P9" s="1"/>
      <c r="Q9" s="9"/>
      <c r="R9" s="1"/>
      <c r="S9" s="1"/>
      <c r="T9" s="9"/>
      <c r="U9" s="9"/>
    </row>
    <row r="10" spans="1:21" x14ac:dyDescent="0.25">
      <c r="A10" s="1" t="s">
        <v>41</v>
      </c>
      <c r="B10" s="1">
        <v>3.9</v>
      </c>
      <c r="C10" s="1"/>
      <c r="D10" s="9"/>
      <c r="E10" s="9">
        <f>+B10</f>
        <v>3.9</v>
      </c>
      <c r="F10" s="1"/>
      <c r="G10" s="9"/>
      <c r="H10" s="9"/>
      <c r="I10" s="14"/>
      <c r="J10" s="14"/>
      <c r="K10" s="9"/>
      <c r="L10" s="9"/>
      <c r="M10" s="9"/>
      <c r="N10" s="9"/>
      <c r="O10" s="1"/>
      <c r="P10" s="1"/>
      <c r="Q10" s="9"/>
      <c r="R10" s="1"/>
      <c r="S10" s="1"/>
      <c r="T10" s="9"/>
      <c r="U10" s="9"/>
    </row>
    <row r="11" spans="1:21" x14ac:dyDescent="0.25">
      <c r="A11" s="1" t="s">
        <v>42</v>
      </c>
      <c r="B11" s="1">
        <v>19.28</v>
      </c>
      <c r="C11" s="1"/>
      <c r="D11" s="9"/>
      <c r="E11" s="9">
        <f>+B11</f>
        <v>19.28</v>
      </c>
      <c r="F11" s="1"/>
      <c r="G11" s="9"/>
      <c r="H11" s="9"/>
      <c r="I11" s="14">
        <v>1.87</v>
      </c>
      <c r="J11" s="14">
        <v>0.4</v>
      </c>
      <c r="K11" s="9">
        <f>+J11*I11</f>
        <v>0.74800000000000011</v>
      </c>
      <c r="L11" s="9"/>
      <c r="M11" s="9"/>
      <c r="N11" s="9"/>
      <c r="O11" s="1">
        <v>17.559999999999999</v>
      </c>
      <c r="P11" s="1">
        <v>0.6</v>
      </c>
      <c r="Q11" s="9">
        <f>+P11*O11</f>
        <v>10.536</v>
      </c>
      <c r="R11" s="1"/>
      <c r="S11" s="1"/>
      <c r="T11" s="9"/>
      <c r="U11" s="9"/>
    </row>
    <row r="12" spans="1:21" x14ac:dyDescent="0.25">
      <c r="A12" s="1" t="s">
        <v>43</v>
      </c>
      <c r="B12" s="1">
        <v>14.46</v>
      </c>
      <c r="C12" s="8"/>
      <c r="D12" s="25"/>
      <c r="E12" s="25"/>
      <c r="F12" s="25"/>
      <c r="G12" s="25"/>
      <c r="H12" s="25">
        <f>+B12</f>
        <v>14.46</v>
      </c>
      <c r="I12" s="26"/>
      <c r="J12" s="26"/>
      <c r="K12" s="25"/>
      <c r="L12" s="25"/>
      <c r="M12" s="25"/>
      <c r="N12" s="25"/>
      <c r="O12" s="1"/>
      <c r="P12" s="1"/>
      <c r="Q12" s="9"/>
      <c r="R12" s="1"/>
      <c r="S12" s="1"/>
      <c r="T12" s="9"/>
      <c r="U12" s="9"/>
    </row>
    <row r="13" spans="1:21" x14ac:dyDescent="0.25">
      <c r="A13" s="1" t="s">
        <v>44</v>
      </c>
      <c r="B13" s="1">
        <v>12</v>
      </c>
      <c r="C13" s="8"/>
      <c r="D13" s="25"/>
      <c r="E13" s="25">
        <f>+B13</f>
        <v>12</v>
      </c>
      <c r="F13" s="25"/>
      <c r="G13" s="25"/>
      <c r="H13" s="25"/>
      <c r="I13" s="26"/>
      <c r="J13" s="26"/>
      <c r="K13" s="25"/>
      <c r="L13" s="25"/>
      <c r="M13" s="25"/>
      <c r="N13" s="25"/>
      <c r="O13" s="1"/>
      <c r="P13" s="1"/>
      <c r="Q13" s="9"/>
      <c r="R13" s="1"/>
      <c r="S13" s="1"/>
      <c r="T13" s="9"/>
      <c r="U13" s="9"/>
    </row>
    <row r="14" spans="1:21" x14ac:dyDescent="0.25">
      <c r="A14" t="s">
        <v>45</v>
      </c>
      <c r="B14" s="1">
        <v>11.25</v>
      </c>
      <c r="C14" s="1"/>
      <c r="D14" s="9"/>
      <c r="E14" s="9"/>
      <c r="F14" s="9"/>
      <c r="G14" s="9"/>
      <c r="H14" s="9">
        <f>+B14</f>
        <v>11.25</v>
      </c>
      <c r="I14" s="14"/>
      <c r="J14" s="14"/>
      <c r="K14" s="9"/>
      <c r="L14" s="1"/>
      <c r="M14" s="1"/>
      <c r="N14" s="9"/>
      <c r="O14" s="1"/>
      <c r="P14" s="1"/>
      <c r="Q14" s="9"/>
      <c r="R14" s="1"/>
      <c r="S14" s="1"/>
      <c r="T14" s="9"/>
      <c r="U14" s="9"/>
    </row>
    <row r="15" spans="1:21" x14ac:dyDescent="0.25">
      <c r="A15" s="1" t="s">
        <v>46</v>
      </c>
      <c r="B15" s="1">
        <f>23.87+2.81</f>
        <v>26.68</v>
      </c>
      <c r="C15" s="9"/>
      <c r="D15" s="9"/>
      <c r="E15" s="9">
        <f>+B15</f>
        <v>26.68</v>
      </c>
      <c r="F15" s="9"/>
      <c r="G15" s="9"/>
      <c r="H15" s="9"/>
      <c r="I15" s="14"/>
      <c r="J15" s="14"/>
      <c r="K15" s="9"/>
      <c r="L15" s="9"/>
      <c r="M15" s="9"/>
      <c r="N15" s="9"/>
      <c r="O15" s="1">
        <v>17.399999999999999</v>
      </c>
      <c r="P15" s="1">
        <v>0.6</v>
      </c>
      <c r="Q15" s="9">
        <f>+P15*O15</f>
        <v>10.44</v>
      </c>
      <c r="R15" s="1"/>
      <c r="S15" s="1"/>
      <c r="T15" s="9"/>
      <c r="U15" s="9"/>
    </row>
    <row r="16" spans="1:21" x14ac:dyDescent="0.25">
      <c r="A16" s="1" t="s">
        <v>34</v>
      </c>
      <c r="B16" s="1">
        <v>9.5</v>
      </c>
      <c r="C16" s="9"/>
      <c r="D16" s="9"/>
      <c r="E16" s="9">
        <f>+B16</f>
        <v>9.5</v>
      </c>
      <c r="F16" s="9"/>
      <c r="G16" s="9"/>
      <c r="H16" s="9"/>
      <c r="I16" s="14"/>
      <c r="J16" s="14"/>
      <c r="K16" s="9"/>
      <c r="L16" s="9"/>
      <c r="M16" s="9"/>
      <c r="N16" s="9"/>
      <c r="O16" s="1"/>
      <c r="P16" s="1"/>
      <c r="Q16" s="9"/>
      <c r="R16" s="1"/>
      <c r="S16" s="1"/>
      <c r="T16" s="9"/>
      <c r="U16" s="9"/>
    </row>
    <row r="17" spans="1:21" x14ac:dyDescent="0.25">
      <c r="A17" s="59" t="s">
        <v>91</v>
      </c>
      <c r="B17" s="60"/>
      <c r="C17" s="73" t="s">
        <v>83</v>
      </c>
      <c r="D17" s="74"/>
      <c r="E17" s="18">
        <f>SUM(E8:E16)</f>
        <v>89.4</v>
      </c>
      <c r="F17" s="75" t="s">
        <v>84</v>
      </c>
      <c r="G17" s="76"/>
      <c r="H17" s="18">
        <f>SUM(H8:H16)</f>
        <v>32.299999999999997</v>
      </c>
      <c r="I17" s="57">
        <f>+(I11+I8+J8+J11)*2</f>
        <v>9.74</v>
      </c>
      <c r="J17" s="57"/>
      <c r="K17" s="18">
        <f>SUM(K8:K16)</f>
        <v>6.2679999999999998</v>
      </c>
      <c r="L17" s="77" t="s">
        <v>86</v>
      </c>
      <c r="M17" s="78"/>
      <c r="N17" s="19">
        <f>SUM(N8:N16)</f>
        <v>0</v>
      </c>
      <c r="O17" s="72">
        <f>+(O15+O11+P11+P15)*2</f>
        <v>72.319999999999993</v>
      </c>
      <c r="P17" s="72"/>
      <c r="Q17" s="23">
        <f>+O15+O11</f>
        <v>34.959999999999994</v>
      </c>
      <c r="R17" s="72">
        <f>+(R8+S8)*2</f>
        <v>27.48</v>
      </c>
      <c r="S17" s="72"/>
      <c r="T17" s="23">
        <f>SUM(R8:R16)</f>
        <v>13.24</v>
      </c>
      <c r="U17" s="24" t="s">
        <v>93</v>
      </c>
    </row>
    <row r="18" spans="1:21" x14ac:dyDescent="0.25">
      <c r="I18" s="55" t="s">
        <v>85</v>
      </c>
      <c r="J18" s="56"/>
      <c r="K18" s="56"/>
      <c r="O18" s="71" t="s">
        <v>87</v>
      </c>
      <c r="P18" s="71"/>
      <c r="Q18" s="71"/>
      <c r="R18" s="71" t="s">
        <v>88</v>
      </c>
      <c r="S18" s="71"/>
      <c r="T18" s="71"/>
    </row>
  </sheetData>
  <mergeCells count="17">
    <mergeCell ref="R4:U4"/>
    <mergeCell ref="C5:E5"/>
    <mergeCell ref="F5:H5"/>
    <mergeCell ref="I5:K5"/>
    <mergeCell ref="L5:N5"/>
    <mergeCell ref="O5:Q5"/>
    <mergeCell ref="R5:T5"/>
    <mergeCell ref="O18:Q18"/>
    <mergeCell ref="O17:P17"/>
    <mergeCell ref="R18:T18"/>
    <mergeCell ref="R17:S17"/>
    <mergeCell ref="A17:B17"/>
    <mergeCell ref="C17:D17"/>
    <mergeCell ref="F17:G17"/>
    <mergeCell ref="L17:M17"/>
    <mergeCell ref="I18:K18"/>
    <mergeCell ref="I17:J1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34"/>
  <sheetViews>
    <sheetView workbookViewId="0">
      <selection sqref="A1:XFD1048576"/>
    </sheetView>
  </sheetViews>
  <sheetFormatPr baseColWidth="10" defaultRowHeight="15.75" x14ac:dyDescent="0.25"/>
  <cols>
    <col min="1" max="1" width="20.25" bestFit="1" customWidth="1"/>
    <col min="2" max="2" width="20.25" customWidth="1"/>
    <col min="3" max="3" width="15.625" customWidth="1"/>
    <col min="4" max="4" width="21.625" customWidth="1"/>
    <col min="5" max="5" width="13.75" customWidth="1"/>
    <col min="6" max="6" width="11.875" customWidth="1"/>
    <col min="7" max="7" width="13.5" customWidth="1"/>
    <col min="8" max="8" width="14.75" customWidth="1"/>
    <col min="9" max="9" width="12" customWidth="1"/>
    <col min="11" max="11" width="11.625" bestFit="1" customWidth="1"/>
    <col min="12" max="12" width="3" customWidth="1"/>
  </cols>
  <sheetData>
    <row r="2" spans="1:11" x14ac:dyDescent="0.25">
      <c r="C2" s="84" t="s">
        <v>132</v>
      </c>
      <c r="D2" s="84"/>
      <c r="E2" s="84"/>
      <c r="F2" s="84"/>
      <c r="G2" s="84"/>
      <c r="H2" s="84"/>
    </row>
    <row r="3" spans="1:11" x14ac:dyDescent="0.25">
      <c r="C3" s="84"/>
      <c r="D3" s="84"/>
      <c r="E3" s="84"/>
      <c r="F3" s="84"/>
      <c r="G3" s="84"/>
      <c r="H3" s="84"/>
    </row>
    <row r="5" spans="1:11" x14ac:dyDescent="0.25">
      <c r="B5" t="s">
        <v>133</v>
      </c>
      <c r="E5" s="35"/>
      <c r="F5" s="35"/>
      <c r="G5" s="44"/>
      <c r="H5" s="35"/>
      <c r="I5" s="35"/>
      <c r="J5" s="79" t="s">
        <v>78</v>
      </c>
      <c r="K5" s="79"/>
    </row>
    <row r="6" spans="1:11" ht="62.25" customHeight="1" x14ac:dyDescent="0.25">
      <c r="E6" s="45" t="s">
        <v>97</v>
      </c>
      <c r="F6" s="45" t="s">
        <v>98</v>
      </c>
      <c r="G6" s="45" t="s">
        <v>99</v>
      </c>
      <c r="H6" s="45" t="s">
        <v>100</v>
      </c>
      <c r="I6" s="46" t="s">
        <v>101</v>
      </c>
      <c r="J6" s="46" t="s">
        <v>102</v>
      </c>
      <c r="K6" s="46" t="s">
        <v>103</v>
      </c>
    </row>
    <row r="7" spans="1:11" ht="31.5" customHeight="1" x14ac:dyDescent="0.25">
      <c r="D7" s="51" t="s">
        <v>131</v>
      </c>
      <c r="E7" s="50">
        <f t="shared" ref="E7:K7" si="0">SUM(E8:E10)</f>
        <v>468.01</v>
      </c>
      <c r="F7" s="50">
        <f t="shared" si="0"/>
        <v>203.85000000000002</v>
      </c>
      <c r="G7" s="50">
        <f t="shared" si="0"/>
        <v>41.8367</v>
      </c>
      <c r="H7" s="50">
        <f t="shared" si="0"/>
        <v>2.0096000000000003</v>
      </c>
      <c r="I7" s="50">
        <f t="shared" si="0"/>
        <v>266.38</v>
      </c>
      <c r="J7" s="50">
        <f t="shared" si="0"/>
        <v>203.32</v>
      </c>
      <c r="K7" s="50">
        <f t="shared" si="0"/>
        <v>3</v>
      </c>
    </row>
    <row r="8" spans="1:11" x14ac:dyDescent="0.25">
      <c r="A8" s="80" t="s">
        <v>96</v>
      </c>
      <c r="B8" s="81" t="s">
        <v>48</v>
      </c>
      <c r="C8" s="82"/>
      <c r="D8" s="83"/>
      <c r="E8" s="30">
        <f>+'Détails Types FP- RDC'!E25</f>
        <v>192.06</v>
      </c>
      <c r="F8" s="30">
        <f>+'Détails Types FP- RDC'!H25</f>
        <v>78.930000000000007</v>
      </c>
      <c r="G8" s="30">
        <f>+'Détails Types FP- RDC'!K25</f>
        <v>26.880700000000001</v>
      </c>
      <c r="H8" s="30">
        <f>+'Détails Types FP- RDC'!N25</f>
        <v>2.0096000000000003</v>
      </c>
      <c r="I8" s="30">
        <v>71.680000000000007</v>
      </c>
      <c r="J8" s="30">
        <v>85.14</v>
      </c>
      <c r="K8" s="30">
        <v>3</v>
      </c>
    </row>
    <row r="9" spans="1:11" x14ac:dyDescent="0.25">
      <c r="A9" s="80"/>
      <c r="B9" s="81" t="s">
        <v>90</v>
      </c>
      <c r="C9" s="82"/>
      <c r="D9" s="83"/>
      <c r="E9" s="30">
        <f>+'Détails Types FP - Etage 1'!E32</f>
        <v>186.55</v>
      </c>
      <c r="F9" s="30">
        <f>+'Détails Types FP - Etage 1'!H32</f>
        <v>92.62</v>
      </c>
      <c r="G9" s="30">
        <f>+'Détails Types FP - Etage 1'!K32</f>
        <v>8.6880000000000006</v>
      </c>
      <c r="H9" s="30">
        <f>+'Détails Types FP - Etage 1'!N32</f>
        <v>0</v>
      </c>
      <c r="I9" s="30">
        <v>122.38</v>
      </c>
      <c r="J9" s="30">
        <v>90.7</v>
      </c>
      <c r="K9" s="30">
        <v>0</v>
      </c>
    </row>
    <row r="10" spans="1:11" x14ac:dyDescent="0.25">
      <c r="A10" s="80"/>
      <c r="B10" s="81" t="s">
        <v>94</v>
      </c>
      <c r="C10" s="82"/>
      <c r="D10" s="83"/>
      <c r="E10" s="30">
        <f>+'Détails Type FP - Etage 2'!E17</f>
        <v>89.4</v>
      </c>
      <c r="F10" s="30">
        <f>+'Détails Type FP - Etage 2'!H17</f>
        <v>32.299999999999997</v>
      </c>
      <c r="G10" s="30">
        <f>+'Détails Type FP - Etage 2'!K17</f>
        <v>6.2679999999999998</v>
      </c>
      <c r="H10" s="30">
        <v>0</v>
      </c>
      <c r="I10" s="30">
        <v>72.319999999999993</v>
      </c>
      <c r="J10" s="30">
        <v>27.48</v>
      </c>
      <c r="K10" s="30">
        <v>0</v>
      </c>
    </row>
    <row r="11" spans="1:11" x14ac:dyDescent="0.25">
      <c r="A11" s="32"/>
      <c r="B11" s="30" t="s">
        <v>120</v>
      </c>
      <c r="C11" s="30" t="s">
        <v>122</v>
      </c>
      <c r="D11" s="30" t="s">
        <v>121</v>
      </c>
      <c r="E11" s="31" t="s">
        <v>81</v>
      </c>
      <c r="F11" s="31"/>
      <c r="G11" s="31"/>
      <c r="H11" s="31"/>
      <c r="I11" s="31"/>
      <c r="J11" s="31"/>
      <c r="K11" s="31"/>
    </row>
    <row r="12" spans="1:11" x14ac:dyDescent="0.25">
      <c r="A12" s="1" t="s">
        <v>104</v>
      </c>
      <c r="B12" s="34">
        <f>SUM(E12:K12)</f>
        <v>708</v>
      </c>
      <c r="C12" s="34">
        <v>910</v>
      </c>
      <c r="D12" s="34">
        <f>+C12*B12</f>
        <v>644280</v>
      </c>
      <c r="E12" s="33">
        <v>160</v>
      </c>
      <c r="F12" s="33">
        <v>70</v>
      </c>
      <c r="G12" s="33">
        <v>130</v>
      </c>
      <c r="H12" s="33">
        <v>8</v>
      </c>
      <c r="I12" s="33">
        <v>270</v>
      </c>
      <c r="J12" s="33">
        <v>70</v>
      </c>
      <c r="K12" s="1"/>
    </row>
    <row r="13" spans="1:11" x14ac:dyDescent="0.25">
      <c r="A13" s="1" t="s">
        <v>105</v>
      </c>
      <c r="B13" s="34">
        <f t="shared" ref="B13:B27" si="1">SUM(E13:K13)</f>
        <v>141</v>
      </c>
      <c r="C13" s="34">
        <v>885</v>
      </c>
      <c r="D13" s="34">
        <f t="shared" ref="D13:D27" si="2">+C13*B13</f>
        <v>124785</v>
      </c>
      <c r="E13" s="33">
        <v>60</v>
      </c>
      <c r="F13" s="33">
        <v>25</v>
      </c>
      <c r="G13" s="33">
        <v>0</v>
      </c>
      <c r="H13" s="33">
        <v>1</v>
      </c>
      <c r="I13" s="33">
        <v>30</v>
      </c>
      <c r="J13" s="33">
        <v>25</v>
      </c>
      <c r="K13" s="1"/>
    </row>
    <row r="14" spans="1:11" x14ac:dyDescent="0.25">
      <c r="A14" s="1" t="s">
        <v>106</v>
      </c>
      <c r="B14" s="34">
        <f t="shared" si="1"/>
        <v>1650</v>
      </c>
      <c r="C14" s="34">
        <v>109.32</v>
      </c>
      <c r="D14" s="34">
        <f t="shared" si="2"/>
        <v>180378</v>
      </c>
      <c r="E14" s="33">
        <f>+E17*3</f>
        <v>960</v>
      </c>
      <c r="F14" s="33">
        <f>+F17*3</f>
        <v>420</v>
      </c>
      <c r="G14" s="33">
        <v>0</v>
      </c>
      <c r="H14" s="33">
        <v>0</v>
      </c>
      <c r="I14" s="33">
        <f>+I17*3</f>
        <v>270</v>
      </c>
      <c r="J14" s="33">
        <v>0</v>
      </c>
      <c r="K14" s="1"/>
    </row>
    <row r="15" spans="1:11" x14ac:dyDescent="0.25">
      <c r="A15" s="1" t="s">
        <v>107</v>
      </c>
      <c r="B15" s="34">
        <f t="shared" si="1"/>
        <v>825</v>
      </c>
      <c r="C15" s="34">
        <v>279.66000000000003</v>
      </c>
      <c r="D15" s="34">
        <f t="shared" si="2"/>
        <v>230719.50000000003</v>
      </c>
      <c r="E15" s="33">
        <f>+E14/2</f>
        <v>480</v>
      </c>
      <c r="F15" s="33">
        <f>+F14/2</f>
        <v>210</v>
      </c>
      <c r="G15" s="33">
        <v>0</v>
      </c>
      <c r="H15" s="33">
        <v>0</v>
      </c>
      <c r="I15" s="33">
        <f>+I14/2</f>
        <v>135</v>
      </c>
      <c r="J15" s="33">
        <v>0</v>
      </c>
      <c r="K15" s="1"/>
    </row>
    <row r="16" spans="1:11" x14ac:dyDescent="0.25">
      <c r="A16" s="1" t="s">
        <v>108</v>
      </c>
      <c r="B16" s="34">
        <f t="shared" si="1"/>
        <v>1650</v>
      </c>
      <c r="C16" s="34">
        <v>81.72</v>
      </c>
      <c r="D16" s="34">
        <f t="shared" si="2"/>
        <v>134838</v>
      </c>
      <c r="E16" s="33">
        <f>+E14</f>
        <v>960</v>
      </c>
      <c r="F16" s="33">
        <f>+F14</f>
        <v>420</v>
      </c>
      <c r="G16" s="33">
        <v>0</v>
      </c>
      <c r="H16" s="33">
        <v>0</v>
      </c>
      <c r="I16" s="33">
        <f>+I14</f>
        <v>270</v>
      </c>
      <c r="J16" s="33">
        <v>0</v>
      </c>
      <c r="K16" s="1"/>
    </row>
    <row r="17" spans="1:11" x14ac:dyDescent="0.25">
      <c r="A17" s="1" t="s">
        <v>109</v>
      </c>
      <c r="B17" s="34">
        <f t="shared" si="1"/>
        <v>588</v>
      </c>
      <c r="C17" s="34">
        <v>1195</v>
      </c>
      <c r="D17" s="34">
        <f t="shared" si="2"/>
        <v>702660</v>
      </c>
      <c r="E17" s="33">
        <v>320</v>
      </c>
      <c r="F17" s="33">
        <v>140</v>
      </c>
      <c r="G17" s="33">
        <v>35</v>
      </c>
      <c r="H17" s="33">
        <v>3</v>
      </c>
      <c r="I17" s="33">
        <v>90</v>
      </c>
      <c r="J17" s="33">
        <v>0</v>
      </c>
      <c r="K17" s="1"/>
    </row>
    <row r="18" spans="1:11" x14ac:dyDescent="0.25">
      <c r="A18" s="1" t="s">
        <v>110</v>
      </c>
      <c r="B18" s="34">
        <f t="shared" si="1"/>
        <v>4</v>
      </c>
      <c r="C18" s="34">
        <v>10678</v>
      </c>
      <c r="D18" s="34">
        <f t="shared" si="2"/>
        <v>42712</v>
      </c>
      <c r="E18" s="33">
        <v>3</v>
      </c>
      <c r="F18" s="33">
        <v>1</v>
      </c>
      <c r="G18" s="33">
        <v>0</v>
      </c>
      <c r="H18" s="33">
        <v>0</v>
      </c>
      <c r="I18" s="33">
        <v>0</v>
      </c>
      <c r="J18" s="33">
        <v>0</v>
      </c>
      <c r="K18" s="1"/>
    </row>
    <row r="19" spans="1:11" x14ac:dyDescent="0.25">
      <c r="A19" s="1" t="s">
        <v>111</v>
      </c>
      <c r="B19" s="34">
        <f t="shared" si="1"/>
        <v>4</v>
      </c>
      <c r="C19" s="34">
        <v>6610</v>
      </c>
      <c r="D19" s="34">
        <f t="shared" si="2"/>
        <v>26440</v>
      </c>
      <c r="E19" s="33">
        <v>2</v>
      </c>
      <c r="F19" s="33">
        <v>1</v>
      </c>
      <c r="G19" s="33">
        <v>0.5</v>
      </c>
      <c r="H19" s="33">
        <v>0</v>
      </c>
      <c r="I19" s="33">
        <v>0.5</v>
      </c>
      <c r="J19" s="33">
        <v>0</v>
      </c>
      <c r="K19" s="1"/>
    </row>
    <row r="20" spans="1:11" x14ac:dyDescent="0.25">
      <c r="A20" s="1" t="s">
        <v>112</v>
      </c>
      <c r="B20" s="34">
        <f t="shared" si="1"/>
        <v>292</v>
      </c>
      <c r="C20" s="34">
        <v>5339</v>
      </c>
      <c r="D20" s="34">
        <f t="shared" si="2"/>
        <v>1558988</v>
      </c>
      <c r="E20" s="33">
        <v>165</v>
      </c>
      <c r="F20" s="33">
        <v>0</v>
      </c>
      <c r="G20" s="33">
        <v>20</v>
      </c>
      <c r="H20" s="33">
        <v>2</v>
      </c>
      <c r="I20" s="33">
        <v>70</v>
      </c>
      <c r="J20" s="33">
        <v>35</v>
      </c>
      <c r="K20" s="1"/>
    </row>
    <row r="21" spans="1:11" x14ac:dyDescent="0.25">
      <c r="A21" s="1" t="s">
        <v>113</v>
      </c>
      <c r="B21" s="34">
        <f t="shared" si="1"/>
        <v>73</v>
      </c>
      <c r="C21" s="34">
        <v>6610</v>
      </c>
      <c r="D21" s="34">
        <f t="shared" si="2"/>
        <v>482530</v>
      </c>
      <c r="E21" s="33">
        <v>0</v>
      </c>
      <c r="F21" s="33">
        <v>73</v>
      </c>
      <c r="G21" s="33">
        <v>0</v>
      </c>
      <c r="H21" s="33">
        <v>0</v>
      </c>
      <c r="I21" s="33">
        <v>0</v>
      </c>
      <c r="J21" s="33">
        <v>0</v>
      </c>
      <c r="K21" s="1"/>
    </row>
    <row r="22" spans="1:11" x14ac:dyDescent="0.25">
      <c r="A22" s="1" t="s">
        <v>114</v>
      </c>
      <c r="B22" s="34">
        <f t="shared" si="1"/>
        <v>19</v>
      </c>
      <c r="C22" s="34">
        <v>3305</v>
      </c>
      <c r="D22" s="34">
        <f t="shared" si="2"/>
        <v>62795</v>
      </c>
      <c r="E22" s="33">
        <v>8</v>
      </c>
      <c r="F22" s="33">
        <v>4</v>
      </c>
      <c r="G22" s="33">
        <v>1</v>
      </c>
      <c r="H22" s="33">
        <v>0</v>
      </c>
      <c r="I22" s="33">
        <v>4</v>
      </c>
      <c r="J22" s="33">
        <v>2</v>
      </c>
      <c r="K22" s="1"/>
    </row>
    <row r="23" spans="1:11" x14ac:dyDescent="0.25">
      <c r="A23" s="1" t="s">
        <v>115</v>
      </c>
      <c r="B23" s="34">
        <f t="shared" si="1"/>
        <v>24.5</v>
      </c>
      <c r="C23" s="34">
        <v>8474</v>
      </c>
      <c r="D23" s="34">
        <f t="shared" si="2"/>
        <v>207613</v>
      </c>
      <c r="E23" s="33">
        <v>10</v>
      </c>
      <c r="F23" s="33">
        <v>4</v>
      </c>
      <c r="G23" s="33">
        <v>2</v>
      </c>
      <c r="H23" s="33">
        <v>0.5</v>
      </c>
      <c r="I23" s="33">
        <v>5</v>
      </c>
      <c r="J23" s="33">
        <v>3</v>
      </c>
      <c r="K23" s="1"/>
    </row>
    <row r="24" spans="1:11" x14ac:dyDescent="0.25">
      <c r="A24" s="1" t="s">
        <v>116</v>
      </c>
      <c r="B24" s="34">
        <f t="shared" si="1"/>
        <v>11.5</v>
      </c>
      <c r="C24" s="34">
        <v>3813</v>
      </c>
      <c r="D24" s="34">
        <f t="shared" si="2"/>
        <v>43849.5</v>
      </c>
      <c r="E24" s="33">
        <v>5</v>
      </c>
      <c r="F24" s="33">
        <v>2</v>
      </c>
      <c r="G24" s="33">
        <v>1</v>
      </c>
      <c r="H24" s="33">
        <v>0.5</v>
      </c>
      <c r="I24" s="33">
        <v>2</v>
      </c>
      <c r="J24" s="33">
        <v>1</v>
      </c>
      <c r="K24" s="1"/>
    </row>
    <row r="25" spans="1:11" x14ac:dyDescent="0.25">
      <c r="A25" s="1" t="s">
        <v>117</v>
      </c>
      <c r="B25" s="34">
        <f t="shared" si="1"/>
        <v>197</v>
      </c>
      <c r="C25" s="34">
        <v>1101</v>
      </c>
      <c r="D25" s="34">
        <f t="shared" si="2"/>
        <v>216897</v>
      </c>
      <c r="E25" s="33">
        <v>0</v>
      </c>
      <c r="F25" s="33">
        <v>0</v>
      </c>
      <c r="G25" s="33">
        <v>35</v>
      </c>
      <c r="H25" s="33">
        <v>2</v>
      </c>
      <c r="I25" s="33">
        <v>90</v>
      </c>
      <c r="J25" s="33">
        <v>70</v>
      </c>
      <c r="K25" s="1"/>
    </row>
    <row r="26" spans="1:11" x14ac:dyDescent="0.25">
      <c r="A26" s="1" t="s">
        <v>118</v>
      </c>
      <c r="B26" s="34">
        <f t="shared" si="1"/>
        <v>90</v>
      </c>
      <c r="C26" s="34">
        <v>1271</v>
      </c>
      <c r="D26" s="34">
        <f t="shared" si="2"/>
        <v>114390</v>
      </c>
      <c r="E26" s="33">
        <v>0</v>
      </c>
      <c r="F26" s="33">
        <v>0</v>
      </c>
      <c r="G26" s="33">
        <v>0</v>
      </c>
      <c r="H26" s="33">
        <v>0</v>
      </c>
      <c r="I26" s="33">
        <v>90</v>
      </c>
      <c r="J26" s="33">
        <v>0</v>
      </c>
      <c r="K26" s="1"/>
    </row>
    <row r="27" spans="1:11" x14ac:dyDescent="0.25">
      <c r="A27" s="1" t="s">
        <v>119</v>
      </c>
      <c r="B27" s="34">
        <f t="shared" si="1"/>
        <v>3</v>
      </c>
      <c r="C27" s="34">
        <v>25997</v>
      </c>
      <c r="D27" s="34">
        <f t="shared" si="2"/>
        <v>77991</v>
      </c>
      <c r="E27" s="33">
        <v>3</v>
      </c>
      <c r="F27" s="33">
        <v>0</v>
      </c>
      <c r="G27" s="33">
        <v>0</v>
      </c>
      <c r="H27" s="33">
        <v>0</v>
      </c>
      <c r="I27" s="33">
        <v>0</v>
      </c>
      <c r="J27" s="33">
        <v>0</v>
      </c>
      <c r="K27" s="1"/>
    </row>
    <row r="28" spans="1:11" x14ac:dyDescent="0.25">
      <c r="B28" s="40" t="s">
        <v>123</v>
      </c>
      <c r="C28" s="39">
        <f>SUM(D12:D27)</f>
        <v>4851866</v>
      </c>
      <c r="D28" s="40" t="s">
        <v>127</v>
      </c>
      <c r="E28" s="41">
        <v>12500</v>
      </c>
      <c r="F28" s="42">
        <v>13500</v>
      </c>
      <c r="G28" s="42">
        <v>12000</v>
      </c>
      <c r="H28" s="42">
        <v>30000</v>
      </c>
      <c r="I28" s="43">
        <v>7000</v>
      </c>
      <c r="J28" s="42">
        <v>7000</v>
      </c>
      <c r="K28" s="42">
        <v>60000</v>
      </c>
    </row>
    <row r="29" spans="1:11" ht="31.5" x14ac:dyDescent="0.25">
      <c r="B29" s="36" t="s">
        <v>124</v>
      </c>
      <c r="C29" s="38">
        <f>+(E8+E9+E10+F8+F9+F10)*3000</f>
        <v>2015580</v>
      </c>
      <c r="D29" s="40" t="s">
        <v>126</v>
      </c>
      <c r="E29" s="41">
        <f t="shared" ref="E29:K29" si="3">+E28*(E8+E9+E10)</f>
        <v>5850125</v>
      </c>
      <c r="F29" s="41">
        <f t="shared" si="3"/>
        <v>2751975.0000000005</v>
      </c>
      <c r="G29" s="41">
        <f t="shared" si="3"/>
        <v>502040.4</v>
      </c>
      <c r="H29" s="41">
        <f t="shared" si="3"/>
        <v>60288.000000000007</v>
      </c>
      <c r="I29" s="41">
        <f t="shared" si="3"/>
        <v>1864660</v>
      </c>
      <c r="J29" s="41">
        <f t="shared" si="3"/>
        <v>1423240</v>
      </c>
      <c r="K29" s="41">
        <f t="shared" si="3"/>
        <v>180000</v>
      </c>
    </row>
    <row r="30" spans="1:11" ht="31.5" x14ac:dyDescent="0.25">
      <c r="B30" s="37" t="s">
        <v>125</v>
      </c>
      <c r="C30" s="39">
        <f>+C28+C29</f>
        <v>6867446</v>
      </c>
    </row>
    <row r="32" spans="1:11" x14ac:dyDescent="0.25">
      <c r="D32" s="47" t="s">
        <v>128</v>
      </c>
      <c r="E32" s="48">
        <f>SUM(E29:K29)</f>
        <v>12632328.4</v>
      </c>
    </row>
    <row r="33" spans="4:5" x14ac:dyDescent="0.25">
      <c r="D33" s="47" t="s">
        <v>129</v>
      </c>
      <c r="E33" s="48">
        <f>+E32-C30</f>
        <v>5764882.4000000004</v>
      </c>
    </row>
    <row r="34" spans="4:5" x14ac:dyDescent="0.25">
      <c r="D34" s="47" t="s">
        <v>130</v>
      </c>
      <c r="E34" s="49">
        <f>+E33/E32</f>
        <v>0.4563594467667576</v>
      </c>
    </row>
  </sheetData>
  <mergeCells count="6">
    <mergeCell ref="C2:H3"/>
    <mergeCell ref="J5:K5"/>
    <mergeCell ref="A8:A10"/>
    <mergeCell ref="B8:D8"/>
    <mergeCell ref="B9:D9"/>
    <mergeCell ref="B10:D10"/>
  </mergeCells>
  <pageMargins left="0.23622047244094491" right="0.23622047244094491" top="0.74803149606299213" bottom="0.74803149606299213" header="0.31496062992125984" footer="0.31496062992125984"/>
  <pageSetup paperSize="9" scale="78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7"/>
  <sheetViews>
    <sheetView tabSelected="1" workbookViewId="0">
      <selection activeCell="B11" sqref="B11"/>
    </sheetView>
  </sheetViews>
  <sheetFormatPr baseColWidth="10" defaultRowHeight="15.75" x14ac:dyDescent="0.25"/>
  <cols>
    <col min="1" max="1" width="20.25" bestFit="1" customWidth="1"/>
    <col min="2" max="2" width="13.25" customWidth="1"/>
    <col min="3" max="3" width="12" customWidth="1"/>
    <col min="4" max="4" width="13.625" customWidth="1"/>
    <col min="5" max="5" width="13.75" customWidth="1"/>
    <col min="6" max="6" width="11.875" customWidth="1"/>
    <col min="7" max="7" width="13.5" customWidth="1"/>
    <col min="8" max="8" width="14.75" customWidth="1"/>
    <col min="9" max="9" width="12" customWidth="1"/>
    <col min="11" max="11" width="11.625" bestFit="1" customWidth="1"/>
    <col min="12" max="12" width="3" customWidth="1"/>
  </cols>
  <sheetData>
    <row r="2" spans="1:9" x14ac:dyDescent="0.25">
      <c r="C2" s="80" t="s">
        <v>135</v>
      </c>
      <c r="D2" s="80"/>
      <c r="E2" s="80"/>
      <c r="F2" s="80"/>
      <c r="G2" s="80"/>
      <c r="H2" s="80"/>
    </row>
    <row r="3" spans="1:9" x14ac:dyDescent="0.25">
      <c r="C3" s="80"/>
      <c r="D3" s="80"/>
      <c r="E3" s="80"/>
      <c r="F3" s="80"/>
      <c r="G3" s="80"/>
      <c r="H3" s="80"/>
    </row>
    <row r="5" spans="1:9" x14ac:dyDescent="0.25">
      <c r="B5" s="35" t="s">
        <v>134</v>
      </c>
      <c r="C5" s="35"/>
      <c r="D5" s="35"/>
      <c r="E5" s="44"/>
      <c r="F5" s="35"/>
      <c r="G5" s="35"/>
      <c r="H5" s="79" t="s">
        <v>78</v>
      </c>
      <c r="I5" s="79"/>
    </row>
    <row r="6" spans="1:9" ht="62.25" customHeight="1" x14ac:dyDescent="0.25">
      <c r="C6" s="45" t="s">
        <v>97</v>
      </c>
      <c r="D6" s="45" t="s">
        <v>98</v>
      </c>
      <c r="E6" s="45" t="s">
        <v>99</v>
      </c>
      <c r="F6" s="45" t="s">
        <v>100</v>
      </c>
      <c r="G6" s="46" t="s">
        <v>101</v>
      </c>
      <c r="H6" s="46" t="s">
        <v>102</v>
      </c>
      <c r="I6" s="46" t="s">
        <v>103</v>
      </c>
    </row>
    <row r="7" spans="1:9" ht="31.5" customHeight="1" x14ac:dyDescent="0.25">
      <c r="B7" s="51" t="s">
        <v>131</v>
      </c>
      <c r="C7" s="50">
        <f>SUM(C8:C10)</f>
        <v>468.01</v>
      </c>
      <c r="D7" s="50">
        <f>SUM(D8:D10)</f>
        <v>203.85000000000002</v>
      </c>
      <c r="E7" s="50">
        <f>SUM(E8:E10)</f>
        <v>41.8367</v>
      </c>
      <c r="F7" s="50">
        <f>SUM(F8:F10)</f>
        <v>2.0096000000000003</v>
      </c>
      <c r="G7" s="50">
        <f>SUM(G8:G10)</f>
        <v>266.38</v>
      </c>
      <c r="H7" s="50">
        <f>SUM(H8:H10)</f>
        <v>203.32</v>
      </c>
      <c r="I7" s="50">
        <f>SUM(I8:I10)</f>
        <v>3</v>
      </c>
    </row>
    <row r="8" spans="1:9" x14ac:dyDescent="0.25">
      <c r="A8" s="80" t="s">
        <v>96</v>
      </c>
      <c r="B8" s="52" t="s">
        <v>48</v>
      </c>
      <c r="C8" s="30">
        <f>+'Détails Types FP- RDC'!E25</f>
        <v>192.06</v>
      </c>
      <c r="D8" s="30">
        <f>+'Détails Types FP- RDC'!H25</f>
        <v>78.930000000000007</v>
      </c>
      <c r="E8" s="30">
        <f>+'Détails Types FP- RDC'!K25</f>
        <v>26.880700000000001</v>
      </c>
      <c r="F8" s="30">
        <f>+'Détails Types FP- RDC'!N25</f>
        <v>2.0096000000000003</v>
      </c>
      <c r="G8" s="30">
        <v>71.680000000000007</v>
      </c>
      <c r="H8" s="30">
        <v>85.14</v>
      </c>
      <c r="I8" s="30">
        <v>3</v>
      </c>
    </row>
    <row r="9" spans="1:9" x14ac:dyDescent="0.25">
      <c r="A9" s="80"/>
      <c r="B9" s="52" t="s">
        <v>90</v>
      </c>
      <c r="C9" s="30">
        <f>+'Détails Types FP - Etage 1'!E32</f>
        <v>186.55</v>
      </c>
      <c r="D9" s="30">
        <f>+'Détails Types FP - Etage 1'!H32</f>
        <v>92.62</v>
      </c>
      <c r="E9" s="30">
        <f>+'Détails Types FP - Etage 1'!K32</f>
        <v>8.6880000000000006</v>
      </c>
      <c r="F9" s="30">
        <f>+'Détails Types FP - Etage 1'!N32</f>
        <v>0</v>
      </c>
      <c r="G9" s="30">
        <v>122.38</v>
      </c>
      <c r="H9" s="30">
        <v>90.7</v>
      </c>
      <c r="I9" s="30">
        <v>0</v>
      </c>
    </row>
    <row r="10" spans="1:9" x14ac:dyDescent="0.25">
      <c r="A10" s="80"/>
      <c r="B10" s="52" t="s">
        <v>94</v>
      </c>
      <c r="C10" s="30">
        <f>+'Détails Type FP - Etage 2'!E17</f>
        <v>89.4</v>
      </c>
      <c r="D10" s="30">
        <f>+'Détails Type FP - Etage 2'!H17</f>
        <v>32.299999999999997</v>
      </c>
      <c r="E10" s="30">
        <f>+'Détails Type FP - Etage 2'!K17</f>
        <v>6.2679999999999998</v>
      </c>
      <c r="F10" s="30">
        <v>0</v>
      </c>
      <c r="G10" s="30">
        <v>72.319999999999993</v>
      </c>
      <c r="H10" s="30">
        <v>27.48</v>
      </c>
      <c r="I10" s="30">
        <v>0</v>
      </c>
    </row>
    <row r="11" spans="1:9" x14ac:dyDescent="0.25">
      <c r="A11" s="32"/>
      <c r="B11" s="53" t="s">
        <v>120</v>
      </c>
      <c r="C11" s="31" t="s">
        <v>81</v>
      </c>
      <c r="D11" s="31"/>
      <c r="E11" s="31"/>
      <c r="F11" s="31"/>
      <c r="G11" s="31"/>
      <c r="H11" s="31"/>
      <c r="I11" s="31"/>
    </row>
    <row r="12" spans="1:9" x14ac:dyDescent="0.25">
      <c r="A12" s="1" t="s">
        <v>104</v>
      </c>
      <c r="B12" s="34">
        <f>SUM(C12:I12)</f>
        <v>708</v>
      </c>
      <c r="C12" s="33">
        <v>160</v>
      </c>
      <c r="D12" s="33">
        <v>70</v>
      </c>
      <c r="E12" s="33">
        <v>130</v>
      </c>
      <c r="F12" s="33">
        <v>8</v>
      </c>
      <c r="G12" s="33">
        <v>270</v>
      </c>
      <c r="H12" s="33">
        <v>70</v>
      </c>
      <c r="I12" s="1"/>
    </row>
    <row r="13" spans="1:9" x14ac:dyDescent="0.25">
      <c r="A13" s="1" t="s">
        <v>105</v>
      </c>
      <c r="B13" s="34">
        <f t="shared" ref="B13:B27" si="0">SUM(C13:I13)</f>
        <v>141</v>
      </c>
      <c r="C13" s="33">
        <v>60</v>
      </c>
      <c r="D13" s="33">
        <v>25</v>
      </c>
      <c r="E13" s="33">
        <v>0</v>
      </c>
      <c r="F13" s="33">
        <v>1</v>
      </c>
      <c r="G13" s="33">
        <v>30</v>
      </c>
      <c r="H13" s="33">
        <v>25</v>
      </c>
      <c r="I13" s="1"/>
    </row>
    <row r="14" spans="1:9" x14ac:dyDescent="0.25">
      <c r="A14" s="1" t="s">
        <v>106</v>
      </c>
      <c r="B14" s="34">
        <f t="shared" si="0"/>
        <v>1650</v>
      </c>
      <c r="C14" s="33">
        <f>+C17*3</f>
        <v>960</v>
      </c>
      <c r="D14" s="33">
        <f>+D17*3</f>
        <v>420</v>
      </c>
      <c r="E14" s="33">
        <v>0</v>
      </c>
      <c r="F14" s="33">
        <v>0</v>
      </c>
      <c r="G14" s="33">
        <f>+G17*3</f>
        <v>270</v>
      </c>
      <c r="H14" s="33">
        <v>0</v>
      </c>
      <c r="I14" s="1"/>
    </row>
    <row r="15" spans="1:9" x14ac:dyDescent="0.25">
      <c r="A15" s="1" t="s">
        <v>107</v>
      </c>
      <c r="B15" s="34">
        <f t="shared" si="0"/>
        <v>825</v>
      </c>
      <c r="C15" s="33">
        <f>+C14/2</f>
        <v>480</v>
      </c>
      <c r="D15" s="33">
        <f>+D14/2</f>
        <v>210</v>
      </c>
      <c r="E15" s="33">
        <v>0</v>
      </c>
      <c r="F15" s="33">
        <v>0</v>
      </c>
      <c r="G15" s="33">
        <f>+G14/2</f>
        <v>135</v>
      </c>
      <c r="H15" s="33">
        <v>0</v>
      </c>
      <c r="I15" s="1"/>
    </row>
    <row r="16" spans="1:9" x14ac:dyDescent="0.25">
      <c r="A16" s="1" t="s">
        <v>108</v>
      </c>
      <c r="B16" s="34">
        <f t="shared" si="0"/>
        <v>1650</v>
      </c>
      <c r="C16" s="33">
        <f>+C14</f>
        <v>960</v>
      </c>
      <c r="D16" s="33">
        <f>+D14</f>
        <v>420</v>
      </c>
      <c r="E16" s="33">
        <v>0</v>
      </c>
      <c r="F16" s="33">
        <v>0</v>
      </c>
      <c r="G16" s="33">
        <f>+G14</f>
        <v>270</v>
      </c>
      <c r="H16" s="33">
        <v>0</v>
      </c>
      <c r="I16" s="1"/>
    </row>
    <row r="17" spans="1:9" x14ac:dyDescent="0.25">
      <c r="A17" s="1" t="s">
        <v>109</v>
      </c>
      <c r="B17" s="34">
        <f t="shared" si="0"/>
        <v>588</v>
      </c>
      <c r="C17" s="33">
        <v>320</v>
      </c>
      <c r="D17" s="33">
        <v>140</v>
      </c>
      <c r="E17" s="33">
        <v>35</v>
      </c>
      <c r="F17" s="33">
        <v>3</v>
      </c>
      <c r="G17" s="33">
        <v>90</v>
      </c>
      <c r="H17" s="33">
        <v>0</v>
      </c>
      <c r="I17" s="1"/>
    </row>
    <row r="18" spans="1:9" x14ac:dyDescent="0.25">
      <c r="A18" s="1" t="s">
        <v>110</v>
      </c>
      <c r="B18" s="34">
        <f t="shared" si="0"/>
        <v>4</v>
      </c>
      <c r="C18" s="33">
        <v>3</v>
      </c>
      <c r="D18" s="33">
        <v>1</v>
      </c>
      <c r="E18" s="33">
        <v>0</v>
      </c>
      <c r="F18" s="33">
        <v>0</v>
      </c>
      <c r="G18" s="33">
        <v>0</v>
      </c>
      <c r="H18" s="33">
        <v>0</v>
      </c>
      <c r="I18" s="1"/>
    </row>
    <row r="19" spans="1:9" x14ac:dyDescent="0.25">
      <c r="A19" s="1" t="s">
        <v>111</v>
      </c>
      <c r="B19" s="34">
        <f t="shared" si="0"/>
        <v>4</v>
      </c>
      <c r="C19" s="33">
        <v>2</v>
      </c>
      <c r="D19" s="33">
        <v>1</v>
      </c>
      <c r="E19" s="33">
        <v>0.5</v>
      </c>
      <c r="F19" s="33">
        <v>0</v>
      </c>
      <c r="G19" s="33">
        <v>0.5</v>
      </c>
      <c r="H19" s="33">
        <v>0</v>
      </c>
      <c r="I19" s="1"/>
    </row>
    <row r="20" spans="1:9" x14ac:dyDescent="0.25">
      <c r="A20" s="1" t="s">
        <v>112</v>
      </c>
      <c r="B20" s="34">
        <f t="shared" si="0"/>
        <v>292</v>
      </c>
      <c r="C20" s="33">
        <v>165</v>
      </c>
      <c r="D20" s="33">
        <v>0</v>
      </c>
      <c r="E20" s="33">
        <v>20</v>
      </c>
      <c r="F20" s="33">
        <v>2</v>
      </c>
      <c r="G20" s="33">
        <v>70</v>
      </c>
      <c r="H20" s="33">
        <v>35</v>
      </c>
      <c r="I20" s="1"/>
    </row>
    <row r="21" spans="1:9" x14ac:dyDescent="0.25">
      <c r="A21" s="1" t="s">
        <v>113</v>
      </c>
      <c r="B21" s="34">
        <f t="shared" si="0"/>
        <v>73</v>
      </c>
      <c r="C21" s="33">
        <v>0</v>
      </c>
      <c r="D21" s="33">
        <v>73</v>
      </c>
      <c r="E21" s="33">
        <v>0</v>
      </c>
      <c r="F21" s="33">
        <v>0</v>
      </c>
      <c r="G21" s="33">
        <v>0</v>
      </c>
      <c r="H21" s="33">
        <v>0</v>
      </c>
      <c r="I21" s="1"/>
    </row>
    <row r="22" spans="1:9" x14ac:dyDescent="0.25">
      <c r="A22" s="1" t="s">
        <v>114</v>
      </c>
      <c r="B22" s="34">
        <f t="shared" si="0"/>
        <v>19</v>
      </c>
      <c r="C22" s="33">
        <v>8</v>
      </c>
      <c r="D22" s="33">
        <v>4</v>
      </c>
      <c r="E22" s="33">
        <v>1</v>
      </c>
      <c r="F22" s="33">
        <v>0</v>
      </c>
      <c r="G22" s="33">
        <v>4</v>
      </c>
      <c r="H22" s="33">
        <v>2</v>
      </c>
      <c r="I22" s="1"/>
    </row>
    <row r="23" spans="1:9" x14ac:dyDescent="0.25">
      <c r="A23" s="1" t="s">
        <v>115</v>
      </c>
      <c r="B23" s="34">
        <f t="shared" si="0"/>
        <v>24.5</v>
      </c>
      <c r="C23" s="33">
        <v>10</v>
      </c>
      <c r="D23" s="33">
        <v>4</v>
      </c>
      <c r="E23" s="33">
        <v>2</v>
      </c>
      <c r="F23" s="33">
        <v>0.5</v>
      </c>
      <c r="G23" s="33">
        <v>5</v>
      </c>
      <c r="H23" s="33">
        <v>3</v>
      </c>
      <c r="I23" s="1"/>
    </row>
    <row r="24" spans="1:9" x14ac:dyDescent="0.25">
      <c r="A24" s="1" t="s">
        <v>116</v>
      </c>
      <c r="B24" s="34">
        <f t="shared" si="0"/>
        <v>11.5</v>
      </c>
      <c r="C24" s="33">
        <v>5</v>
      </c>
      <c r="D24" s="33">
        <v>2</v>
      </c>
      <c r="E24" s="33">
        <v>1</v>
      </c>
      <c r="F24" s="33">
        <v>0.5</v>
      </c>
      <c r="G24" s="33">
        <v>2</v>
      </c>
      <c r="H24" s="33">
        <v>1</v>
      </c>
      <c r="I24" s="1"/>
    </row>
    <row r="25" spans="1:9" x14ac:dyDescent="0.25">
      <c r="A25" s="1" t="s">
        <v>117</v>
      </c>
      <c r="B25" s="34">
        <f t="shared" si="0"/>
        <v>197</v>
      </c>
      <c r="C25" s="33">
        <v>0</v>
      </c>
      <c r="D25" s="33">
        <v>0</v>
      </c>
      <c r="E25" s="33">
        <v>35</v>
      </c>
      <c r="F25" s="33">
        <v>2</v>
      </c>
      <c r="G25" s="33">
        <v>90</v>
      </c>
      <c r="H25" s="33">
        <v>70</v>
      </c>
      <c r="I25" s="1"/>
    </row>
    <row r="26" spans="1:9" x14ac:dyDescent="0.25">
      <c r="A26" s="1" t="s">
        <v>118</v>
      </c>
      <c r="B26" s="34">
        <f t="shared" si="0"/>
        <v>90</v>
      </c>
      <c r="C26" s="33">
        <v>0</v>
      </c>
      <c r="D26" s="33">
        <v>0</v>
      </c>
      <c r="E26" s="33">
        <v>0</v>
      </c>
      <c r="F26" s="33">
        <v>0</v>
      </c>
      <c r="G26" s="33">
        <v>90</v>
      </c>
      <c r="H26" s="33">
        <v>0</v>
      </c>
      <c r="I26" s="1"/>
    </row>
    <row r="27" spans="1:9" x14ac:dyDescent="0.25">
      <c r="A27" s="1" t="s">
        <v>119</v>
      </c>
      <c r="B27" s="34">
        <f t="shared" si="0"/>
        <v>3</v>
      </c>
      <c r="C27" s="33">
        <v>3</v>
      </c>
      <c r="D27" s="33">
        <v>0</v>
      </c>
      <c r="E27" s="33">
        <v>0</v>
      </c>
      <c r="F27" s="33">
        <v>0</v>
      </c>
      <c r="G27" s="33">
        <v>0</v>
      </c>
      <c r="H27" s="33">
        <v>0</v>
      </c>
      <c r="I27" s="1"/>
    </row>
  </sheetData>
  <mergeCells count="3">
    <mergeCell ref="C2:H3"/>
    <mergeCell ref="H5:I5"/>
    <mergeCell ref="A8:A10"/>
  </mergeCells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6</vt:i4>
      </vt:variant>
      <vt:variant>
        <vt:lpstr>Plages nommées</vt:lpstr>
      </vt:variant>
      <vt:variant>
        <vt:i4>1</vt:i4>
      </vt:variant>
    </vt:vector>
  </HeadingPairs>
  <TitlesOfParts>
    <vt:vector size="7" baseType="lpstr">
      <vt:lpstr>Feuil1</vt:lpstr>
      <vt:lpstr>Détails Types FP- RDC</vt:lpstr>
      <vt:lpstr>Détails Types FP - Etage 1</vt:lpstr>
      <vt:lpstr>Détails Type FP - Etage 2</vt:lpstr>
      <vt:lpstr>Est. Mat. Par Type FP</vt:lpstr>
      <vt:lpstr>Récap Matériels</vt:lpstr>
      <vt:lpstr>'Est. Mat. Par Type FP'!Zone_d_impression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JAWAD</cp:lastModifiedBy>
  <cp:lastPrinted>2021-05-10T12:56:07Z</cp:lastPrinted>
  <dcterms:created xsi:type="dcterms:W3CDTF">2021-02-22T05:14:28Z</dcterms:created>
  <dcterms:modified xsi:type="dcterms:W3CDTF">2021-05-10T13:01:52Z</dcterms:modified>
</cp:coreProperties>
</file>