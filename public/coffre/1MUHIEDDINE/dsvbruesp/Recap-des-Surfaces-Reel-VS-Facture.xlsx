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WAD\Desktop\PARTAGE ECM\BATSERVICES\Clinique PROCREA\"/>
    </mc:Choice>
  </mc:AlternateContent>
  <bookViews>
    <workbookView xWindow="0" yWindow="0" windowWidth="20460" windowHeight="661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G19" i="1"/>
  <c r="F19" i="1"/>
  <c r="G18" i="1"/>
  <c r="G17" i="1"/>
  <c r="G16" i="1"/>
  <c r="G14" i="1"/>
  <c r="G13" i="1"/>
  <c r="G12" i="1"/>
  <c r="G10" i="1"/>
  <c r="G8" i="1"/>
  <c r="G7" i="1"/>
  <c r="G6" i="1"/>
  <c r="F18" i="1"/>
  <c r="F17" i="1"/>
  <c r="F16" i="1"/>
  <c r="F14" i="1"/>
  <c r="F13" i="1"/>
  <c r="F12" i="1"/>
  <c r="F10" i="1"/>
  <c r="F8" i="1"/>
  <c r="F7" i="1"/>
  <c r="F6" i="1"/>
  <c r="E8" i="1"/>
  <c r="E7" i="1"/>
</calcChain>
</file>

<file path=xl/sharedStrings.xml><?xml version="1.0" encoding="utf-8"?>
<sst xmlns="http://schemas.openxmlformats.org/spreadsheetml/2006/main" count="22" uniqueCount="15">
  <si>
    <t>CLOISON</t>
  </si>
  <si>
    <t>REEL</t>
  </si>
  <si>
    <t>RDC</t>
  </si>
  <si>
    <t>ETAGE 1</t>
  </si>
  <si>
    <t>ETAE 2</t>
  </si>
  <si>
    <t>FACTURÉ</t>
  </si>
  <si>
    <t>PROCREA CLOISONS</t>
  </si>
  <si>
    <t>DOUBLAGE</t>
  </si>
  <si>
    <t>GEBERIT</t>
  </si>
  <si>
    <t>LINTEAUX</t>
  </si>
  <si>
    <t>P.U HT</t>
  </si>
  <si>
    <t>Total</t>
  </si>
  <si>
    <t>Ecart</t>
  </si>
  <si>
    <t>Total REEL HT</t>
  </si>
  <si>
    <t>Total Facturé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</si>
</sst>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0" xfId="0" applyBorder="1"/>
    <xf numFmtId="0" fontId="2" fillId="3" borderId="2" xfId="2" applyBorder="1"/>
    <xf numFmtId="0" fontId="2" fillId="4" borderId="1" xfId="3" applyBorder="1" applyAlignment="1">
      <alignment horizontal="center"/>
    </xf>
    <xf numFmtId="0" fontId="2" fillId="3" borderId="1" xfId="2" applyBorder="1"/>
    <xf numFmtId="0" fontId="1" fillId="5" borderId="1" xfId="4" applyBorder="1"/>
    <xf numFmtId="164" fontId="0" fillId="0" borderId="0" xfId="5" applyNumberFormat="1" applyFont="1"/>
    <xf numFmtId="0" fontId="1" fillId="5" borderId="3" xfId="4" applyBorder="1"/>
    <xf numFmtId="0" fontId="0" fillId="0" borderId="3" xfId="0" applyBorder="1"/>
    <xf numFmtId="164" fontId="0" fillId="0" borderId="1" xfId="5" applyNumberFormat="1" applyFont="1" applyBorder="1"/>
    <xf numFmtId="164" fontId="0" fillId="7" borderId="1" xfId="5" applyNumberFormat="1" applyFont="1" applyFill="1" applyBorder="1"/>
    <xf numFmtId="164" fontId="3" fillId="6" borderId="1" xfId="5" applyNumberFormat="1" applyFont="1" applyFill="1" applyBorder="1"/>
    <xf numFmtId="164" fontId="0" fillId="0" borderId="0" xfId="0" applyNumberFormat="1"/>
    <xf numFmtId="0" fontId="1" fillId="2" borderId="1" xfId="1" applyBorder="1" applyAlignment="1">
      <alignment horizontal="center"/>
    </xf>
    <xf numFmtId="0" fontId="0" fillId="5" borderId="4" xfId="4" applyFont="1" applyBorder="1" applyAlignment="1">
      <alignment horizontal="center"/>
    </xf>
    <xf numFmtId="0" fontId="0" fillId="5" borderId="5" xfId="4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5" applyNumberFormat="1" applyFont="1" applyFill="1" applyBorder="1" applyAlignment="1">
      <alignment horizontal="center"/>
    </xf>
  </cellXfs>
  <cellStyles count="6">
    <cellStyle name="20 % - Accent1" xfId="1" builtinId="30"/>
    <cellStyle name="20 % - Accent6" xfId="4" builtinId="50"/>
    <cellStyle name="Accent2" xfId="2" builtinId="33"/>
    <cellStyle name="Accent5" xfId="3" builtinId="45"/>
    <cellStyle name="Milliers" xfId="5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0"/>
  <sheetViews>
    <sheetView tabSelected="1" workbookViewId="0">
      <selection activeCell="C8" sqref="C8"/>
    </sheetView>
  </sheetViews>
  <sheetFormatPr baseColWidth="10" defaultRowHeight="15" x14ac:dyDescent="0.25"/>
  <cols>
    <col min="5" max="5" width="11.85546875" style="7" bestFit="1" customWidth="1"/>
    <col min="6" max="6" width="14.28515625" style="7" bestFit="1" customWidth="1"/>
    <col min="7" max="7" width="16.7109375" style="7" bestFit="1" customWidth="1"/>
  </cols>
  <sheetData>
    <row r="3" spans="1:10" x14ac:dyDescent="0.25">
      <c r="B3" s="14" t="s">
        <v>6</v>
      </c>
      <c r="C3" s="14"/>
      <c r="D3" s="14"/>
    </row>
    <row r="5" spans="1:10" x14ac:dyDescent="0.25">
      <c r="B5" s="6"/>
      <c r="C5" s="4" t="s">
        <v>1</v>
      </c>
      <c r="D5" s="4" t="s">
        <v>5</v>
      </c>
      <c r="E5" s="12" t="s">
        <v>10</v>
      </c>
      <c r="F5" s="12" t="s">
        <v>13</v>
      </c>
      <c r="G5" s="12" t="s">
        <v>14</v>
      </c>
    </row>
    <row r="6" spans="1:10" x14ac:dyDescent="0.25">
      <c r="A6" s="3" t="s">
        <v>0</v>
      </c>
      <c r="B6" s="8" t="s">
        <v>2</v>
      </c>
      <c r="C6" s="9">
        <v>371.8</v>
      </c>
      <c r="D6" s="9">
        <v>390.39</v>
      </c>
      <c r="E6" s="10">
        <v>16500</v>
      </c>
      <c r="F6" s="10">
        <f>+E6*C6</f>
        <v>6134700</v>
      </c>
      <c r="G6" s="10">
        <f>+E6*D6</f>
        <v>6441435</v>
      </c>
    </row>
    <row r="7" spans="1:10" x14ac:dyDescent="0.25">
      <c r="A7" s="2"/>
      <c r="B7" s="6" t="s">
        <v>3</v>
      </c>
      <c r="C7" s="1">
        <v>416.11</v>
      </c>
      <c r="D7" s="1">
        <v>436.91</v>
      </c>
      <c r="E7" s="10">
        <f>+E6</f>
        <v>16500</v>
      </c>
      <c r="F7" s="10">
        <f>+E7*C7</f>
        <v>6865815</v>
      </c>
      <c r="G7" s="10">
        <f>+E7*D7</f>
        <v>7209015</v>
      </c>
    </row>
    <row r="8" spans="1:10" x14ac:dyDescent="0.25">
      <c r="A8" s="2"/>
      <c r="B8" s="6" t="s">
        <v>4</v>
      </c>
      <c r="C8" s="1">
        <v>270.45999999999998</v>
      </c>
      <c r="D8" s="1">
        <v>283.98</v>
      </c>
      <c r="E8" s="10">
        <f>+E7</f>
        <v>16500</v>
      </c>
      <c r="F8" s="10">
        <f>+E8*C8</f>
        <v>4462590</v>
      </c>
      <c r="G8" s="10">
        <f>+E8*D8</f>
        <v>4685670</v>
      </c>
    </row>
    <row r="9" spans="1:10" x14ac:dyDescent="0.25">
      <c r="A9" s="2"/>
      <c r="B9" s="6"/>
      <c r="C9" s="1"/>
      <c r="D9" s="1"/>
      <c r="E9" s="10"/>
      <c r="F9" s="10"/>
      <c r="G9" s="10"/>
    </row>
    <row r="10" spans="1:10" x14ac:dyDescent="0.25">
      <c r="A10" s="5" t="s">
        <v>7</v>
      </c>
      <c r="B10" s="6" t="s">
        <v>2</v>
      </c>
      <c r="C10" s="1">
        <v>374.3</v>
      </c>
      <c r="D10" s="1">
        <v>393.01</v>
      </c>
      <c r="E10" s="10">
        <v>11000</v>
      </c>
      <c r="F10" s="10">
        <f>+E10*C10</f>
        <v>4117300</v>
      </c>
      <c r="G10" s="10">
        <f>+E10*D10</f>
        <v>4323110</v>
      </c>
      <c r="I10" s="13"/>
      <c r="J10" s="13"/>
    </row>
    <row r="11" spans="1:10" x14ac:dyDescent="0.25">
      <c r="A11" s="2"/>
      <c r="B11" s="6"/>
      <c r="C11" s="1"/>
      <c r="D11" s="1"/>
      <c r="E11" s="10"/>
      <c r="F11" s="10"/>
      <c r="G11" s="10"/>
    </row>
    <row r="12" spans="1:10" x14ac:dyDescent="0.25">
      <c r="A12" s="5" t="s">
        <v>8</v>
      </c>
      <c r="B12" s="6" t="s">
        <v>2</v>
      </c>
      <c r="C12" s="1">
        <v>74.66</v>
      </c>
      <c r="D12" s="1">
        <v>127.5</v>
      </c>
      <c r="E12" s="10">
        <v>12500</v>
      </c>
      <c r="F12" s="10">
        <f>+E12*C12</f>
        <v>933250</v>
      </c>
      <c r="G12" s="10">
        <f>+E12*D12</f>
        <v>1593750</v>
      </c>
    </row>
    <row r="13" spans="1:10" x14ac:dyDescent="0.25">
      <c r="A13" s="2"/>
      <c r="B13" s="6" t="s">
        <v>3</v>
      </c>
      <c r="C13" s="1">
        <v>54.89</v>
      </c>
      <c r="D13" s="1">
        <v>102.24</v>
      </c>
      <c r="E13" s="10">
        <v>12500</v>
      </c>
      <c r="F13" s="10">
        <f>+E13*C13</f>
        <v>686125</v>
      </c>
      <c r="G13" s="10">
        <f>+E13*D13</f>
        <v>1278000</v>
      </c>
    </row>
    <row r="14" spans="1:10" x14ac:dyDescent="0.25">
      <c r="A14" s="2"/>
      <c r="B14" s="6" t="s">
        <v>4</v>
      </c>
      <c r="C14" s="1">
        <v>86.66</v>
      </c>
      <c r="D14" s="1">
        <v>108.56</v>
      </c>
      <c r="E14" s="10">
        <v>12500</v>
      </c>
      <c r="F14" s="10">
        <f>+E14*C14</f>
        <v>1083250</v>
      </c>
      <c r="G14" s="10">
        <f>+E14*D14</f>
        <v>1357000</v>
      </c>
    </row>
    <row r="15" spans="1:10" x14ac:dyDescent="0.25">
      <c r="A15" s="2"/>
      <c r="B15" s="6"/>
      <c r="C15" s="1"/>
      <c r="D15" s="1"/>
      <c r="E15" s="10"/>
      <c r="F15" s="10"/>
      <c r="G15" s="10"/>
    </row>
    <row r="16" spans="1:10" x14ac:dyDescent="0.25">
      <c r="A16" s="5" t="s">
        <v>9</v>
      </c>
      <c r="B16" s="6" t="s">
        <v>2</v>
      </c>
      <c r="C16" s="1">
        <v>47.64</v>
      </c>
      <c r="D16" s="1">
        <v>73.599999999999994</v>
      </c>
      <c r="E16" s="10">
        <v>18000</v>
      </c>
      <c r="F16" s="10">
        <f>+E16*C16</f>
        <v>857520</v>
      </c>
      <c r="G16" s="10">
        <f>+E16*D16</f>
        <v>1324800</v>
      </c>
    </row>
    <row r="17" spans="1:7" x14ac:dyDescent="0.25">
      <c r="A17" s="2"/>
      <c r="B17" s="6" t="s">
        <v>3</v>
      </c>
      <c r="C17" s="1">
        <v>38.25</v>
      </c>
      <c r="D17" s="1">
        <v>51.52</v>
      </c>
      <c r="E17" s="10">
        <v>18000</v>
      </c>
      <c r="F17" s="10">
        <f>+E17*C17</f>
        <v>688500</v>
      </c>
      <c r="G17" s="10">
        <f>+E17*D17</f>
        <v>927360</v>
      </c>
    </row>
    <row r="18" spans="1:7" x14ac:dyDescent="0.25">
      <c r="A18" s="2"/>
      <c r="B18" s="6" t="s">
        <v>4</v>
      </c>
      <c r="C18" s="1">
        <v>14.64</v>
      </c>
      <c r="D18" s="1">
        <v>20.6</v>
      </c>
      <c r="E18" s="10">
        <v>18000</v>
      </c>
      <c r="F18" s="10">
        <f>+E18*C18</f>
        <v>263520</v>
      </c>
      <c r="G18" s="10">
        <f>+E18*D18</f>
        <v>370800</v>
      </c>
    </row>
    <row r="19" spans="1:7" x14ac:dyDescent="0.25">
      <c r="A19" s="2"/>
      <c r="B19" s="15" t="s">
        <v>11</v>
      </c>
      <c r="C19" s="16"/>
      <c r="D19" s="16"/>
      <c r="E19" s="16"/>
      <c r="F19" s="11">
        <f>SUM(F6:F18)</f>
        <v>26092570</v>
      </c>
      <c r="G19" s="11">
        <f>SUM(G6:G18)</f>
        <v>29510940</v>
      </c>
    </row>
    <row r="20" spans="1:7" x14ac:dyDescent="0.25">
      <c r="B20" s="17" t="s">
        <v>12</v>
      </c>
      <c r="C20" s="17"/>
      <c r="D20" s="17"/>
      <c r="E20" s="17"/>
      <c r="F20" s="18">
        <f>+G19-F19</f>
        <v>3418370</v>
      </c>
      <c r="G20" s="18"/>
    </row>
  </sheetData>
  <mergeCells count="4">
    <mergeCell ref="B3:D3"/>
    <mergeCell ref="B19:E19"/>
    <mergeCell ref="B20:E20"/>
    <mergeCell ref="F20:G20"/>
  </mergeCells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JAWAD</cp:lastModifiedBy>
  <dcterms:created xsi:type="dcterms:W3CDTF">2021-04-21T14:12:44Z</dcterms:created>
  <dcterms:modified xsi:type="dcterms:W3CDTF">2021-05-11T12:38:45Z</dcterms:modified>
</cp:coreProperties>
</file>