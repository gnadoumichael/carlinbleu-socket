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Récap Estimatif détaillé" sheetId="1" r:id="rId1"/>
    <sheet name="Récap Estimatif Général 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D25" i="2" l="1"/>
  <c r="D24" i="2"/>
  <c r="D23" i="2" l="1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H30" i="2" l="1"/>
  <c r="I30" i="2" l="1"/>
  <c r="D29" i="2"/>
  <c r="D31" i="2" s="1"/>
  <c r="H31" i="2" s="1"/>
  <c r="I31" i="2" s="1"/>
  <c r="J31" i="2" s="1"/>
  <c r="D26" i="2"/>
  <c r="D30" i="2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I3" i="1"/>
  <c r="D3" i="1"/>
  <c r="D32" i="2" l="1"/>
</calcChain>
</file>

<file path=xl/sharedStrings.xml><?xml version="1.0" encoding="utf-8"?>
<sst xmlns="http://schemas.openxmlformats.org/spreadsheetml/2006/main" count="113" uniqueCount="46">
  <si>
    <t>Faux Plafond Standard Sans Joint Creux</t>
  </si>
  <si>
    <t>Faux Plafond Hydro Sans Joint Creux</t>
  </si>
  <si>
    <t>Faux Plafond Plat Standard Dans les zones à joints Creux Joint Creux</t>
  </si>
  <si>
    <t>Matériels Joints Creux</t>
  </si>
  <si>
    <t>Surface (m²)</t>
  </si>
  <si>
    <t>Longueurs</t>
  </si>
  <si>
    <t>MATERIELS</t>
  </si>
  <si>
    <t>QUANTITÉ</t>
  </si>
  <si>
    <t>PRIX U.</t>
  </si>
  <si>
    <t>MONTANT HT</t>
  </si>
  <si>
    <t>CORNIERE</t>
  </si>
  <si>
    <t>CHEVILLE A FRAPPER x30</t>
  </si>
  <si>
    <t>Montants 48</t>
  </si>
  <si>
    <t>FOURRURES</t>
  </si>
  <si>
    <t>CHEVILLE LAITON</t>
  </si>
  <si>
    <t>PLAQUE standard</t>
  </si>
  <si>
    <t>SUSPENTES ARTICULÉE</t>
  </si>
  <si>
    <t>VIS 25</t>
  </si>
  <si>
    <t>TIGE 1M</t>
  </si>
  <si>
    <t>ENDUIT</t>
  </si>
  <si>
    <t>TIGE 2M</t>
  </si>
  <si>
    <t>BANDE A JOINT</t>
  </si>
  <si>
    <t>PIVOT</t>
  </si>
  <si>
    <t>Bande armée</t>
  </si>
  <si>
    <t>ECLISSE</t>
  </si>
  <si>
    <t>VIS AUTO</t>
  </si>
  <si>
    <t>PLAQUE HYDRO</t>
  </si>
  <si>
    <t>Projet: CALLISTO</t>
  </si>
  <si>
    <t>RECAP GENERALE MATERIEL CALLISTO</t>
  </si>
  <si>
    <t>Bande armées</t>
  </si>
  <si>
    <t>Montant 48</t>
  </si>
  <si>
    <t>Total Matériel HT</t>
  </si>
  <si>
    <t>Est Mat/M²</t>
  </si>
  <si>
    <t>M/O Plaquiste</t>
  </si>
  <si>
    <t>M/O Jointeur 58*350 + 86*500</t>
  </si>
  <si>
    <t>Total Matériel et MO HT</t>
  </si>
  <si>
    <t>Total Vente HT</t>
  </si>
  <si>
    <t>Marge Estimative / Villa</t>
  </si>
  <si>
    <t>Frais Divers</t>
  </si>
  <si>
    <t>Marge Totale Estimative 56 Villas</t>
  </si>
  <si>
    <t>1 Villa</t>
  </si>
  <si>
    <t>56 Villas</t>
  </si>
  <si>
    <t>Taux de marge Estimatif Après Commission</t>
  </si>
  <si>
    <t>Commissions</t>
  </si>
  <si>
    <t>PLAQUE standard 2,5*1,2</t>
  </si>
  <si>
    <t>PLAQUE HYDRO 2,5*1,2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</si>
</sst>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_-* #,##0\ _€_-;\-* #,##0\ _€_-;_-* &quot;-&quot;??\ _€_-;_-@_-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 applyAlignment="1">
      <alignment horizontal="right"/>
    </xf>
    <xf numFmtId="0" fontId="5" fillId="0" borderId="0" xfId="0" applyFont="1"/>
    <xf numFmtId="0" fontId="3" fillId="2" borderId="4" xfId="2" applyBorder="1" applyAlignment="1">
      <alignment horizontal="center"/>
    </xf>
    <xf numFmtId="0" fontId="0" fillId="0" borderId="4" xfId="0" applyBorder="1"/>
    <xf numFmtId="4" fontId="0" fillId="0" borderId="4" xfId="0" applyNumberFormat="1" applyBorder="1"/>
    <xf numFmtId="2" fontId="0" fillId="0" borderId="4" xfId="0" applyNumberFormat="1" applyBorder="1" applyAlignment="1">
      <alignment horizontal="right"/>
    </xf>
    <xf numFmtId="43" fontId="0" fillId="0" borderId="4" xfId="1" applyFont="1" applyBorder="1"/>
    <xf numFmtId="0" fontId="0" fillId="0" borderId="4" xfId="0" applyFill="1" applyBorder="1"/>
    <xf numFmtId="0" fontId="0" fillId="0" borderId="4" xfId="0" applyBorder="1" applyAlignment="1">
      <alignment horizontal="center" vertical="center" wrapText="1"/>
    </xf>
    <xf numFmtId="43" fontId="0" fillId="0" borderId="4" xfId="0" applyNumberFormat="1" applyBorder="1" applyAlignment="1">
      <alignment horizontal="center" vertical="center"/>
    </xf>
    <xf numFmtId="43" fontId="0" fillId="0" borderId="4" xfId="1" applyFont="1" applyFill="1" applyBorder="1"/>
    <xf numFmtId="43" fontId="0" fillId="0" borderId="4" xfId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4" xfId="1" applyNumberFormat="1" applyFont="1" applyBorder="1"/>
    <xf numFmtId="0" fontId="0" fillId="0" borderId="4" xfId="0" applyFill="1" applyBorder="1" applyAlignment="1">
      <alignment horizontal="center" vertical="center" wrapText="1"/>
    </xf>
    <xf numFmtId="43" fontId="0" fillId="0" borderId="4" xfId="0" applyNumberFormat="1" applyBorder="1" applyAlignment="1">
      <alignment vertical="center"/>
    </xf>
    <xf numFmtId="164" fontId="2" fillId="3" borderId="4" xfId="1" applyNumberFormat="1" applyFont="1" applyFill="1" applyBorder="1"/>
    <xf numFmtId="164" fontId="2" fillId="3" borderId="4" xfId="1" applyNumberFormat="1" applyFont="1" applyFill="1" applyBorder="1" applyAlignment="1">
      <alignment horizontal="center" vertical="center"/>
    </xf>
    <xf numFmtId="165" fontId="0" fillId="0" borderId="0" xfId="3" applyNumberFormat="1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65" fontId="0" fillId="0" borderId="4" xfId="3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164" fontId="0" fillId="0" borderId="4" xfId="1" applyNumberFormat="1" applyFont="1" applyBorder="1" applyAlignment="1">
      <alignment vertical="center"/>
    </xf>
    <xf numFmtId="165" fontId="2" fillId="4" borderId="4" xfId="3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</cellXfs>
  <cellStyles count="4">
    <cellStyle name="Accent1" xfId="2" builtinId="29"/>
    <cellStyle name="Milliers" xfId="1" builtinId="3"/>
    <cellStyle name="Normal" xfId="0" builtinId="0"/>
    <cellStyle name="Pourcentage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hiffrage%20PLANS%20ARCHI%20CALLISTO%20ETO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TATION"/>
      <sheetName val="MATERIELS"/>
      <sheetName val="Etimatifs Matériel Joints Creux"/>
      <sheetName val="Récap détaillé Matériel Chiffré"/>
      <sheetName val="Récap Générale Matériels"/>
    </sheetNames>
    <sheetDataSet>
      <sheetData sheetId="0">
        <row r="8">
          <cell r="B8">
            <v>3.27</v>
          </cell>
        </row>
        <row r="10">
          <cell r="B10">
            <v>11.34</v>
          </cell>
        </row>
        <row r="11">
          <cell r="B11">
            <v>7.47</v>
          </cell>
        </row>
        <row r="12">
          <cell r="B12">
            <v>6.3</v>
          </cell>
        </row>
        <row r="19">
          <cell r="B19">
            <v>4.04</v>
          </cell>
        </row>
        <row r="21">
          <cell r="B21">
            <v>4.29</v>
          </cell>
        </row>
        <row r="23">
          <cell r="B23">
            <v>3.67</v>
          </cell>
        </row>
        <row r="24">
          <cell r="B24">
            <v>3.31</v>
          </cell>
        </row>
        <row r="25">
          <cell r="B25">
            <v>14.92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9"/>
  <sheetViews>
    <sheetView workbookViewId="0">
      <selection activeCell="J22" sqref="J22"/>
    </sheetView>
  </sheetViews>
  <sheetFormatPr baseColWidth="10" defaultRowHeight="15" x14ac:dyDescent="0.25"/>
  <cols>
    <col min="1" max="1" width="22.7109375" bestFit="1" customWidth="1"/>
    <col min="4" max="4" width="12.85546875" bestFit="1" customWidth="1"/>
    <col min="5" max="5" width="5" customWidth="1"/>
    <col min="6" max="6" width="22.7109375" bestFit="1" customWidth="1"/>
    <col min="10" max="10" width="7.85546875" customWidth="1"/>
    <col min="11" max="11" width="22.7109375" bestFit="1" customWidth="1"/>
    <col min="15" max="15" width="6" customWidth="1"/>
    <col min="16" max="16" width="22.7109375" bestFit="1" customWidth="1"/>
  </cols>
  <sheetData>
    <row r="2" spans="1:19" x14ac:dyDescent="0.25">
      <c r="A2" s="26" t="s">
        <v>0</v>
      </c>
      <c r="B2" s="27"/>
      <c r="C2" s="27"/>
      <c r="D2" s="28"/>
      <c r="F2" s="29" t="s">
        <v>1</v>
      </c>
      <c r="G2" s="30"/>
      <c r="H2" s="30"/>
      <c r="I2" s="31"/>
      <c r="K2" s="32" t="s">
        <v>2</v>
      </c>
      <c r="L2" s="33"/>
      <c r="M2" s="33"/>
      <c r="N2" s="34"/>
      <c r="P2" s="35" t="s">
        <v>3</v>
      </c>
      <c r="Q2" s="36"/>
      <c r="R2" s="36"/>
      <c r="S2" s="37"/>
    </row>
    <row r="3" spans="1:19" x14ac:dyDescent="0.25">
      <c r="C3" s="1" t="s">
        <v>4</v>
      </c>
      <c r="D3" s="2">
        <f>+[1]COTATION!B10+[1]COTATION!B25+[1]COTATION!B21</f>
        <v>30.549999999999997</v>
      </c>
      <c r="H3" s="1" t="s">
        <v>4</v>
      </c>
      <c r="I3" s="2">
        <f>+[1]COTATION!B8+[1]COTATION!B11+[1]COTATION!B12+[1]COTATION!B19+[1]COTATION!B23+[1]COTATION!B24</f>
        <v>28.06</v>
      </c>
      <c r="M3" s="1" t="s">
        <v>4</v>
      </c>
      <c r="N3" s="2">
        <v>86.15</v>
      </c>
      <c r="R3" s="1" t="s">
        <v>5</v>
      </c>
      <c r="S3" s="2">
        <v>95.53</v>
      </c>
    </row>
    <row r="4" spans="1:19" x14ac:dyDescent="0.25">
      <c r="A4" s="3" t="s">
        <v>6</v>
      </c>
      <c r="B4" s="3" t="s">
        <v>7</v>
      </c>
      <c r="C4" s="3" t="s">
        <v>8</v>
      </c>
      <c r="D4" s="3" t="s">
        <v>9</v>
      </c>
      <c r="F4" s="3" t="s">
        <v>6</v>
      </c>
      <c r="G4" s="3" t="s">
        <v>7</v>
      </c>
      <c r="H4" s="3" t="s">
        <v>8</v>
      </c>
      <c r="I4" s="3" t="s">
        <v>9</v>
      </c>
      <c r="K4" s="3" t="s">
        <v>6</v>
      </c>
      <c r="L4" s="3" t="s">
        <v>7</v>
      </c>
      <c r="M4" s="3" t="s">
        <v>8</v>
      </c>
      <c r="N4" s="3" t="s">
        <v>9</v>
      </c>
      <c r="P4" s="3" t="s">
        <v>6</v>
      </c>
      <c r="Q4" s="3" t="s">
        <v>7</v>
      </c>
      <c r="R4" s="3" t="s">
        <v>8</v>
      </c>
      <c r="S4" s="3" t="s">
        <v>9</v>
      </c>
    </row>
    <row r="5" spans="1:19" x14ac:dyDescent="0.25">
      <c r="A5" s="4" t="s">
        <v>10</v>
      </c>
      <c r="B5" s="4">
        <v>13</v>
      </c>
      <c r="C5" s="4">
        <v>910.68</v>
      </c>
      <c r="D5" s="5">
        <f>+B5*C5</f>
        <v>11838.84</v>
      </c>
      <c r="F5" s="4" t="s">
        <v>10</v>
      </c>
      <c r="G5" s="4">
        <v>20</v>
      </c>
      <c r="H5" s="4">
        <v>910.68</v>
      </c>
      <c r="I5" s="5">
        <f>+G5*H5</f>
        <v>18213.599999999999</v>
      </c>
      <c r="K5" s="4" t="s">
        <v>10</v>
      </c>
      <c r="L5" s="4">
        <v>4</v>
      </c>
      <c r="M5" s="4">
        <v>910.68</v>
      </c>
      <c r="N5" s="5">
        <v>3642.72</v>
      </c>
      <c r="P5" s="4" t="s">
        <v>10</v>
      </c>
      <c r="Q5" s="4">
        <v>34</v>
      </c>
      <c r="R5" s="4">
        <v>910.68</v>
      </c>
      <c r="S5" s="4">
        <v>30963.119999999999</v>
      </c>
    </row>
    <row r="6" spans="1:19" x14ac:dyDescent="0.25">
      <c r="A6" s="4" t="s">
        <v>11</v>
      </c>
      <c r="B6" s="4">
        <v>5</v>
      </c>
      <c r="C6" s="6">
        <v>885</v>
      </c>
      <c r="D6" s="5">
        <f>B6*C6</f>
        <v>4425</v>
      </c>
      <c r="F6" s="4" t="s">
        <v>11</v>
      </c>
      <c r="G6" s="4">
        <v>7</v>
      </c>
      <c r="H6" s="6">
        <v>885</v>
      </c>
      <c r="I6" s="5">
        <f>G6*H6</f>
        <v>6195</v>
      </c>
      <c r="K6" s="4" t="s">
        <v>11</v>
      </c>
      <c r="L6" s="4">
        <v>2</v>
      </c>
      <c r="M6" s="6">
        <v>885</v>
      </c>
      <c r="N6" s="5">
        <v>1770</v>
      </c>
      <c r="P6" s="4" t="s">
        <v>12</v>
      </c>
      <c r="Q6" s="4">
        <v>34</v>
      </c>
      <c r="R6" s="4">
        <v>1525</v>
      </c>
      <c r="S6" s="4">
        <v>51850</v>
      </c>
    </row>
    <row r="7" spans="1:19" x14ac:dyDescent="0.25">
      <c r="A7" s="4" t="s">
        <v>13</v>
      </c>
      <c r="B7" s="4">
        <v>22</v>
      </c>
      <c r="C7" s="4">
        <v>1195</v>
      </c>
      <c r="D7" s="5">
        <f t="shared" ref="D7:D19" si="0">+B7*C7</f>
        <v>26290</v>
      </c>
      <c r="F7" s="4" t="s">
        <v>13</v>
      </c>
      <c r="G7" s="4">
        <v>20</v>
      </c>
      <c r="H7" s="4">
        <v>1195</v>
      </c>
      <c r="I7" s="5">
        <f t="shared" ref="I7:I19" si="1">+G7*H7</f>
        <v>23900</v>
      </c>
      <c r="K7" s="4" t="s">
        <v>13</v>
      </c>
      <c r="L7" s="4">
        <v>60</v>
      </c>
      <c r="M7" s="4">
        <v>1195</v>
      </c>
      <c r="N7" s="5">
        <v>71700</v>
      </c>
      <c r="P7" s="4" t="s">
        <v>11</v>
      </c>
      <c r="Q7" s="4">
        <v>12</v>
      </c>
      <c r="R7" s="4">
        <v>885</v>
      </c>
      <c r="S7" s="4">
        <v>10620</v>
      </c>
    </row>
    <row r="8" spans="1:19" x14ac:dyDescent="0.25">
      <c r="A8" s="4" t="s">
        <v>14</v>
      </c>
      <c r="B8" s="4">
        <v>25</v>
      </c>
      <c r="C8" s="4">
        <v>109.32</v>
      </c>
      <c r="D8" s="5">
        <f t="shared" si="0"/>
        <v>2733</v>
      </c>
      <c r="F8" s="4" t="s">
        <v>14</v>
      </c>
      <c r="G8" s="4">
        <v>28</v>
      </c>
      <c r="H8" s="4">
        <v>109.32</v>
      </c>
      <c r="I8" s="5">
        <f t="shared" si="1"/>
        <v>3060.96</v>
      </c>
      <c r="K8" s="4" t="s">
        <v>14</v>
      </c>
      <c r="L8" s="4">
        <v>90</v>
      </c>
      <c r="M8" s="4">
        <v>109.32</v>
      </c>
      <c r="N8" s="5">
        <v>9838.7999999999993</v>
      </c>
      <c r="P8" s="4" t="s">
        <v>15</v>
      </c>
      <c r="Q8" s="4">
        <v>5</v>
      </c>
      <c r="R8" s="4">
        <v>5339</v>
      </c>
      <c r="S8" s="4">
        <v>26695</v>
      </c>
    </row>
    <row r="9" spans="1:19" x14ac:dyDescent="0.25">
      <c r="A9" s="4" t="s">
        <v>16</v>
      </c>
      <c r="B9" s="4">
        <v>40</v>
      </c>
      <c r="C9" s="5">
        <v>182.2</v>
      </c>
      <c r="D9" s="5">
        <f t="shared" si="0"/>
        <v>7288</v>
      </c>
      <c r="F9" s="4" t="s">
        <v>16</v>
      </c>
      <c r="G9" s="4">
        <v>0</v>
      </c>
      <c r="H9" s="5">
        <v>182.2</v>
      </c>
      <c r="I9" s="5">
        <f t="shared" si="1"/>
        <v>0</v>
      </c>
      <c r="K9" s="4" t="s">
        <v>16</v>
      </c>
      <c r="L9" s="4">
        <v>85</v>
      </c>
      <c r="M9" s="5">
        <v>182.2</v>
      </c>
      <c r="N9" s="5">
        <v>15486.999999999998</v>
      </c>
      <c r="P9" s="4" t="s">
        <v>17</v>
      </c>
      <c r="Q9" s="4">
        <v>1.5</v>
      </c>
      <c r="R9" s="4">
        <v>3305.08</v>
      </c>
      <c r="S9" s="4">
        <v>4957.62</v>
      </c>
    </row>
    <row r="10" spans="1:19" x14ac:dyDescent="0.25">
      <c r="A10" s="4" t="s">
        <v>18</v>
      </c>
      <c r="B10" s="4">
        <v>12</v>
      </c>
      <c r="C10" s="4">
        <v>279.66000000000003</v>
      </c>
      <c r="D10" s="5">
        <f t="shared" si="0"/>
        <v>3355.92</v>
      </c>
      <c r="F10" s="4" t="s">
        <v>18</v>
      </c>
      <c r="G10" s="4">
        <v>14</v>
      </c>
      <c r="H10" s="4">
        <v>279.66000000000003</v>
      </c>
      <c r="I10" s="5">
        <f t="shared" si="1"/>
        <v>3915.2400000000002</v>
      </c>
      <c r="K10" s="4" t="s">
        <v>18</v>
      </c>
      <c r="L10" s="4">
        <v>45</v>
      </c>
      <c r="M10" s="4">
        <v>279.66000000000003</v>
      </c>
      <c r="N10" s="5">
        <v>12584.7</v>
      </c>
      <c r="P10" s="4" t="s">
        <v>19</v>
      </c>
      <c r="Q10" s="4">
        <v>1.5</v>
      </c>
      <c r="R10" s="4">
        <v>8474.57</v>
      </c>
      <c r="S10" s="4">
        <v>12711.855</v>
      </c>
    </row>
    <row r="11" spans="1:19" x14ac:dyDescent="0.25">
      <c r="A11" s="4" t="s">
        <v>20</v>
      </c>
      <c r="B11" s="4">
        <v>38</v>
      </c>
      <c r="C11" s="4">
        <v>930</v>
      </c>
      <c r="D11" s="5">
        <f t="shared" si="0"/>
        <v>35340</v>
      </c>
      <c r="F11" s="4" t="s">
        <v>20</v>
      </c>
      <c r="G11" s="4">
        <v>0</v>
      </c>
      <c r="H11" s="4">
        <v>930</v>
      </c>
      <c r="I11" s="5">
        <f t="shared" si="1"/>
        <v>0</v>
      </c>
      <c r="K11" s="4" t="s">
        <v>20</v>
      </c>
      <c r="L11" s="4">
        <v>65</v>
      </c>
      <c r="M11" s="4">
        <v>930</v>
      </c>
      <c r="N11" s="5">
        <v>60450</v>
      </c>
      <c r="P11" s="4" t="s">
        <v>21</v>
      </c>
      <c r="Q11" s="4">
        <v>1</v>
      </c>
      <c r="R11" s="4">
        <v>3813.55</v>
      </c>
      <c r="S11" s="4">
        <v>3813.55</v>
      </c>
    </row>
    <row r="12" spans="1:19" x14ac:dyDescent="0.25">
      <c r="A12" s="4" t="s">
        <v>22</v>
      </c>
      <c r="B12" s="4">
        <v>65</v>
      </c>
      <c r="C12" s="4">
        <v>81.72</v>
      </c>
      <c r="D12" s="5">
        <f t="shared" si="0"/>
        <v>5311.8</v>
      </c>
      <c r="F12" s="4" t="s">
        <v>22</v>
      </c>
      <c r="G12" s="4">
        <v>28</v>
      </c>
      <c r="H12" s="4">
        <v>81.72</v>
      </c>
      <c r="I12" s="5">
        <f t="shared" si="1"/>
        <v>2288.16</v>
      </c>
      <c r="K12" s="4" t="s">
        <v>22</v>
      </c>
      <c r="L12" s="4">
        <v>175</v>
      </c>
      <c r="M12" s="4">
        <v>81.72</v>
      </c>
      <c r="N12" s="5">
        <v>14301</v>
      </c>
      <c r="P12" s="4" t="s">
        <v>23</v>
      </c>
      <c r="Q12" s="4">
        <v>4</v>
      </c>
      <c r="R12" s="4">
        <v>6102</v>
      </c>
      <c r="S12" s="4">
        <v>24408</v>
      </c>
    </row>
    <row r="13" spans="1:19" x14ac:dyDescent="0.25">
      <c r="A13" s="4" t="s">
        <v>24</v>
      </c>
      <c r="B13" s="4">
        <v>0.2</v>
      </c>
      <c r="C13" s="5">
        <v>10678.2</v>
      </c>
      <c r="D13" s="5">
        <f t="shared" si="0"/>
        <v>2135.6400000000003</v>
      </c>
      <c r="F13" s="4" t="s">
        <v>24</v>
      </c>
      <c r="G13" s="4">
        <v>0</v>
      </c>
      <c r="H13" s="5">
        <v>10678.2</v>
      </c>
      <c r="I13" s="5">
        <f t="shared" si="1"/>
        <v>0</v>
      </c>
      <c r="K13" s="4" t="s">
        <v>24</v>
      </c>
      <c r="L13" s="4">
        <v>1</v>
      </c>
      <c r="M13" s="5">
        <v>10678.2</v>
      </c>
      <c r="N13" s="5">
        <v>10678.2</v>
      </c>
    </row>
    <row r="14" spans="1:19" x14ac:dyDescent="0.25">
      <c r="A14" s="4" t="s">
        <v>25</v>
      </c>
      <c r="B14" s="4">
        <v>0.1</v>
      </c>
      <c r="C14" s="5">
        <v>6610.17</v>
      </c>
      <c r="D14" s="5">
        <f t="shared" si="0"/>
        <v>661.01700000000005</v>
      </c>
      <c r="F14" s="4" t="s">
        <v>25</v>
      </c>
      <c r="G14" s="4">
        <v>0.12</v>
      </c>
      <c r="H14" s="5">
        <v>6610.17</v>
      </c>
      <c r="I14" s="5">
        <f t="shared" si="1"/>
        <v>793.22039999999993</v>
      </c>
      <c r="K14" s="4" t="s">
        <v>25</v>
      </c>
      <c r="L14" s="4">
        <v>0.3</v>
      </c>
      <c r="M14" s="5">
        <v>6610.17</v>
      </c>
      <c r="N14" s="5">
        <v>1983.0509999999999</v>
      </c>
    </row>
    <row r="15" spans="1:19" x14ac:dyDescent="0.25">
      <c r="A15" s="4" t="s">
        <v>26</v>
      </c>
      <c r="B15" s="4">
        <v>0</v>
      </c>
      <c r="C15" s="5">
        <v>6610</v>
      </c>
      <c r="D15" s="5">
        <f t="shared" si="0"/>
        <v>0</v>
      </c>
      <c r="F15" s="4" t="s">
        <v>26</v>
      </c>
      <c r="G15" s="4">
        <v>10</v>
      </c>
      <c r="H15" s="5">
        <v>6610</v>
      </c>
      <c r="I15" s="5">
        <f t="shared" si="1"/>
        <v>66100</v>
      </c>
      <c r="K15" s="4" t="s">
        <v>26</v>
      </c>
      <c r="L15" s="4">
        <v>0</v>
      </c>
      <c r="M15" s="5">
        <v>6610</v>
      </c>
      <c r="N15" s="5">
        <v>0</v>
      </c>
    </row>
    <row r="16" spans="1:19" x14ac:dyDescent="0.25">
      <c r="A16" s="4" t="s">
        <v>15</v>
      </c>
      <c r="B16" s="4">
        <v>11</v>
      </c>
      <c r="C16" s="5">
        <v>5339</v>
      </c>
      <c r="D16" s="5">
        <f t="shared" si="0"/>
        <v>58729</v>
      </c>
      <c r="F16" s="4" t="s">
        <v>15</v>
      </c>
      <c r="G16" s="4">
        <v>0</v>
      </c>
      <c r="H16" s="5">
        <v>5339</v>
      </c>
      <c r="I16" s="5">
        <f t="shared" si="1"/>
        <v>0</v>
      </c>
      <c r="K16" s="4" t="s">
        <v>15</v>
      </c>
      <c r="L16" s="4">
        <v>31</v>
      </c>
      <c r="M16" s="5">
        <v>5339</v>
      </c>
      <c r="N16" s="5">
        <v>165509</v>
      </c>
    </row>
    <row r="17" spans="1:14" x14ac:dyDescent="0.25">
      <c r="A17" s="4" t="s">
        <v>17</v>
      </c>
      <c r="B17" s="4">
        <v>0.5</v>
      </c>
      <c r="C17" s="5">
        <v>3305.08</v>
      </c>
      <c r="D17" s="5">
        <f t="shared" si="0"/>
        <v>1652.54</v>
      </c>
      <c r="F17" s="4" t="s">
        <v>17</v>
      </c>
      <c r="G17" s="4">
        <v>0.5</v>
      </c>
      <c r="H17" s="5">
        <v>3305.08</v>
      </c>
      <c r="I17" s="5">
        <f t="shared" si="1"/>
        <v>1652.54</v>
      </c>
      <c r="K17" s="4" t="s">
        <v>17</v>
      </c>
      <c r="L17" s="4">
        <v>1.5</v>
      </c>
      <c r="M17" s="5">
        <v>3305.08</v>
      </c>
      <c r="N17" s="5">
        <v>4957.62</v>
      </c>
    </row>
    <row r="18" spans="1:14" x14ac:dyDescent="0.25">
      <c r="A18" s="4" t="s">
        <v>19</v>
      </c>
      <c r="B18" s="4">
        <v>1</v>
      </c>
      <c r="C18" s="5">
        <v>8474.57</v>
      </c>
      <c r="D18" s="5">
        <f t="shared" si="0"/>
        <v>8474.57</v>
      </c>
      <c r="F18" s="4" t="s">
        <v>19</v>
      </c>
      <c r="G18" s="4">
        <v>1</v>
      </c>
      <c r="H18" s="5">
        <v>8474.57</v>
      </c>
      <c r="I18" s="5">
        <f t="shared" si="1"/>
        <v>8474.57</v>
      </c>
      <c r="K18" s="4" t="s">
        <v>19</v>
      </c>
      <c r="L18" s="4">
        <v>2</v>
      </c>
      <c r="M18" s="5">
        <v>8474.57</v>
      </c>
      <c r="N18" s="5">
        <v>16949.14</v>
      </c>
    </row>
    <row r="19" spans="1:14" x14ac:dyDescent="0.25">
      <c r="A19" s="4" t="s">
        <v>21</v>
      </c>
      <c r="B19" s="4">
        <v>0.5</v>
      </c>
      <c r="C19" s="5">
        <v>3813.55</v>
      </c>
      <c r="D19" s="5">
        <f t="shared" si="0"/>
        <v>1906.7750000000001</v>
      </c>
      <c r="F19" s="4" t="s">
        <v>21</v>
      </c>
      <c r="G19" s="4">
        <v>0.5</v>
      </c>
      <c r="H19" s="5">
        <v>3813.55</v>
      </c>
      <c r="I19" s="5">
        <f t="shared" si="1"/>
        <v>1906.7750000000001</v>
      </c>
      <c r="K19" s="4" t="s">
        <v>21</v>
      </c>
      <c r="L19" s="4">
        <v>1</v>
      </c>
      <c r="M19" s="5">
        <v>3813.55</v>
      </c>
      <c r="N19" s="5">
        <v>3813.55</v>
      </c>
    </row>
  </sheetData>
  <mergeCells count="4">
    <mergeCell ref="A2:D2"/>
    <mergeCell ref="F2:I2"/>
    <mergeCell ref="K2:N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2"/>
  <sheetViews>
    <sheetView tabSelected="1" workbookViewId="0">
      <selection activeCell="D30" sqref="D30"/>
    </sheetView>
  </sheetViews>
  <sheetFormatPr baseColWidth="10" defaultRowHeight="15" x14ac:dyDescent="0.25"/>
  <cols>
    <col min="1" max="1" width="22.7109375" bestFit="1" customWidth="1"/>
    <col min="2" max="2" width="10" bestFit="1" customWidth="1"/>
    <col min="3" max="3" width="13.7109375" bestFit="1" customWidth="1"/>
    <col min="4" max="4" width="15.28515625" bestFit="1" customWidth="1"/>
    <col min="6" max="6" width="13" customWidth="1"/>
    <col min="8" max="8" width="12" bestFit="1" customWidth="1"/>
    <col min="9" max="9" width="15.28515625" bestFit="1" customWidth="1"/>
    <col min="10" max="10" width="17.28515625" style="19" customWidth="1"/>
  </cols>
  <sheetData>
    <row r="2" spans="1:4" x14ac:dyDescent="0.25">
      <c r="A2" t="s">
        <v>27</v>
      </c>
    </row>
    <row r="4" spans="1:4" x14ac:dyDescent="0.25">
      <c r="A4" s="38" t="s">
        <v>28</v>
      </c>
      <c r="B4" s="38"/>
      <c r="C4" s="38"/>
      <c r="D4" s="38"/>
    </row>
    <row r="5" spans="1:4" x14ac:dyDescent="0.25">
      <c r="A5" s="38"/>
      <c r="B5" s="38"/>
      <c r="C5" s="38"/>
      <c r="D5" s="38"/>
    </row>
    <row r="6" spans="1:4" x14ac:dyDescent="0.25">
      <c r="A6" s="3" t="s">
        <v>6</v>
      </c>
      <c r="B6" s="3" t="s">
        <v>7</v>
      </c>
      <c r="C6" s="3" t="s">
        <v>8</v>
      </c>
      <c r="D6" s="3" t="s">
        <v>9</v>
      </c>
    </row>
    <row r="7" spans="1:4" x14ac:dyDescent="0.25">
      <c r="A7" s="4" t="s">
        <v>10</v>
      </c>
      <c r="B7" s="4">
        <v>65</v>
      </c>
      <c r="C7" s="4">
        <v>1144</v>
      </c>
      <c r="D7" s="7">
        <f>+C7*B7</f>
        <v>74360</v>
      </c>
    </row>
    <row r="8" spans="1:4" x14ac:dyDescent="0.25">
      <c r="A8" s="4" t="s">
        <v>11</v>
      </c>
      <c r="B8" s="4">
        <v>25</v>
      </c>
      <c r="C8" s="6">
        <v>885</v>
      </c>
      <c r="D8" s="7">
        <f t="shared" ref="D8:D23" si="0">+C8*B8</f>
        <v>22125</v>
      </c>
    </row>
    <row r="9" spans="1:4" x14ac:dyDescent="0.25">
      <c r="A9" s="4" t="s">
        <v>13</v>
      </c>
      <c r="B9" s="4">
        <v>90</v>
      </c>
      <c r="C9" s="4">
        <v>1356</v>
      </c>
      <c r="D9" s="7">
        <f t="shared" si="0"/>
        <v>122040</v>
      </c>
    </row>
    <row r="10" spans="1:4" x14ac:dyDescent="0.25">
      <c r="A10" s="4" t="s">
        <v>14</v>
      </c>
      <c r="B10" s="4">
        <v>120</v>
      </c>
      <c r="C10" s="4">
        <v>109.32</v>
      </c>
      <c r="D10" s="7">
        <f t="shared" si="0"/>
        <v>13118.4</v>
      </c>
    </row>
    <row r="11" spans="1:4" x14ac:dyDescent="0.25">
      <c r="A11" s="4" t="s">
        <v>16</v>
      </c>
      <c r="B11" s="4">
        <v>100</v>
      </c>
      <c r="C11" s="5">
        <v>182.2</v>
      </c>
      <c r="D11" s="7">
        <f t="shared" si="0"/>
        <v>18220</v>
      </c>
    </row>
    <row r="12" spans="1:4" x14ac:dyDescent="0.25">
      <c r="A12" s="4" t="s">
        <v>18</v>
      </c>
      <c r="B12" s="4">
        <v>70</v>
      </c>
      <c r="C12" s="4">
        <v>279.66000000000003</v>
      </c>
      <c r="D12" s="7">
        <f t="shared" si="0"/>
        <v>19576.2</v>
      </c>
    </row>
    <row r="13" spans="1:4" x14ac:dyDescent="0.25">
      <c r="A13" s="4" t="s">
        <v>20</v>
      </c>
      <c r="B13" s="4">
        <v>100</v>
      </c>
      <c r="C13" s="4">
        <v>930</v>
      </c>
      <c r="D13" s="7">
        <f t="shared" si="0"/>
        <v>93000</v>
      </c>
    </row>
    <row r="14" spans="1:4" x14ac:dyDescent="0.25">
      <c r="A14" s="4" t="s">
        <v>22</v>
      </c>
      <c r="B14" s="4">
        <v>200</v>
      </c>
      <c r="C14" s="4">
        <v>81.72</v>
      </c>
      <c r="D14" s="7">
        <f t="shared" si="0"/>
        <v>16344</v>
      </c>
    </row>
    <row r="15" spans="1:4" x14ac:dyDescent="0.25">
      <c r="A15" s="4" t="s">
        <v>24</v>
      </c>
      <c r="B15" s="4">
        <v>1</v>
      </c>
      <c r="C15" s="5">
        <v>10678.2</v>
      </c>
      <c r="D15" s="7">
        <f t="shared" si="0"/>
        <v>10678.2</v>
      </c>
    </row>
    <row r="16" spans="1:4" x14ac:dyDescent="0.25">
      <c r="A16" s="4" t="s">
        <v>25</v>
      </c>
      <c r="B16" s="4">
        <v>0.5</v>
      </c>
      <c r="C16" s="5">
        <v>6610.17</v>
      </c>
      <c r="D16" s="7">
        <f t="shared" si="0"/>
        <v>3305.085</v>
      </c>
    </row>
    <row r="17" spans="1:10" x14ac:dyDescent="0.25">
      <c r="A17" s="4" t="s">
        <v>45</v>
      </c>
      <c r="B17" s="4">
        <v>10</v>
      </c>
      <c r="C17" s="5">
        <v>6610</v>
      </c>
      <c r="D17" s="7">
        <f t="shared" si="0"/>
        <v>66100</v>
      </c>
    </row>
    <row r="18" spans="1:10" x14ac:dyDescent="0.25">
      <c r="A18" s="4" t="s">
        <v>44</v>
      </c>
      <c r="B18" s="4">
        <v>47</v>
      </c>
      <c r="C18" s="5">
        <v>5339</v>
      </c>
      <c r="D18" s="7">
        <f t="shared" si="0"/>
        <v>250933</v>
      </c>
    </row>
    <row r="19" spans="1:10" x14ac:dyDescent="0.25">
      <c r="A19" s="4" t="s">
        <v>17</v>
      </c>
      <c r="B19" s="4">
        <v>4</v>
      </c>
      <c r="C19" s="5">
        <v>3305.08</v>
      </c>
      <c r="D19" s="7">
        <f t="shared" si="0"/>
        <v>13220.32</v>
      </c>
    </row>
    <row r="20" spans="1:10" x14ac:dyDescent="0.25">
      <c r="A20" s="4" t="s">
        <v>19</v>
      </c>
      <c r="B20" s="4">
        <v>3</v>
      </c>
      <c r="C20" s="5">
        <v>8474.57</v>
      </c>
      <c r="D20" s="7">
        <f t="shared" si="0"/>
        <v>25423.71</v>
      </c>
    </row>
    <row r="21" spans="1:10" x14ac:dyDescent="0.25">
      <c r="A21" s="4" t="s">
        <v>21</v>
      </c>
      <c r="B21" s="4">
        <v>3</v>
      </c>
      <c r="C21" s="5">
        <v>3813.55</v>
      </c>
      <c r="D21" s="7">
        <f t="shared" si="0"/>
        <v>11440.650000000001</v>
      </c>
    </row>
    <row r="22" spans="1:10" x14ac:dyDescent="0.25">
      <c r="A22" s="8" t="s">
        <v>29</v>
      </c>
      <c r="B22" s="4">
        <v>4</v>
      </c>
      <c r="C22" s="4">
        <v>6102</v>
      </c>
      <c r="D22" s="7">
        <f t="shared" si="0"/>
        <v>24408</v>
      </c>
    </row>
    <row r="23" spans="1:10" x14ac:dyDescent="0.25">
      <c r="A23" s="8" t="s">
        <v>30</v>
      </c>
      <c r="B23" s="4">
        <v>34</v>
      </c>
      <c r="C23" s="4">
        <v>1801</v>
      </c>
      <c r="D23" s="7">
        <f t="shared" si="0"/>
        <v>61234</v>
      </c>
    </row>
    <row r="24" spans="1:10" ht="30" x14ac:dyDescent="0.25">
      <c r="C24" s="9" t="s">
        <v>31</v>
      </c>
      <c r="D24" s="10">
        <f>SUM(D7:D23)</f>
        <v>845526.56499999994</v>
      </c>
    </row>
    <row r="25" spans="1:10" x14ac:dyDescent="0.25">
      <c r="C25" s="4" t="s">
        <v>32</v>
      </c>
      <c r="D25" s="11">
        <f>+D24/144</f>
        <v>5871.7122569444437</v>
      </c>
    </row>
    <row r="26" spans="1:10" x14ac:dyDescent="0.25">
      <c r="C26" s="4" t="s">
        <v>38</v>
      </c>
      <c r="D26" s="11">
        <f>500*144</f>
        <v>72000</v>
      </c>
    </row>
    <row r="27" spans="1:10" x14ac:dyDescent="0.25">
      <c r="C27" s="4" t="s">
        <v>33</v>
      </c>
      <c r="D27" s="17">
        <v>270000</v>
      </c>
    </row>
    <row r="28" spans="1:10" ht="45" x14ac:dyDescent="0.25">
      <c r="C28" s="9" t="s">
        <v>34</v>
      </c>
      <c r="D28" s="18">
        <v>70000</v>
      </c>
    </row>
    <row r="29" spans="1:10" ht="45" x14ac:dyDescent="0.25">
      <c r="C29" s="15" t="s">
        <v>35</v>
      </c>
      <c r="D29" s="16">
        <f>+D28+D27+D26+D24</f>
        <v>1257526.5649999999</v>
      </c>
      <c r="H29" s="20" t="s">
        <v>40</v>
      </c>
      <c r="I29" s="20" t="s">
        <v>41</v>
      </c>
      <c r="J29" s="25" t="s">
        <v>42</v>
      </c>
    </row>
    <row r="30" spans="1:10" ht="30" x14ac:dyDescent="0.25">
      <c r="C30" s="15" t="s">
        <v>36</v>
      </c>
      <c r="D30" s="12">
        <f>12000*144.56</f>
        <v>1734720</v>
      </c>
      <c r="F30" s="20" t="s">
        <v>43</v>
      </c>
      <c r="G30" s="21">
        <v>0.06</v>
      </c>
      <c r="H30" s="14">
        <f>+D30*G30</f>
        <v>104083.2</v>
      </c>
      <c r="I30" s="14">
        <f>+H30*56</f>
        <v>5828659.2000000002</v>
      </c>
      <c r="J30" s="22"/>
    </row>
    <row r="31" spans="1:10" ht="45" x14ac:dyDescent="0.25">
      <c r="C31" s="15" t="s">
        <v>37</v>
      </c>
      <c r="D31" s="10">
        <f>+D30-D29</f>
        <v>477193.43500000006</v>
      </c>
      <c r="H31" s="23">
        <f>+D31-H30</f>
        <v>373110.23500000004</v>
      </c>
      <c r="I31" s="24">
        <f>+H31*56</f>
        <v>20894173.160000004</v>
      </c>
      <c r="J31" s="22">
        <f>+I31/(D30*56)</f>
        <v>0.21508383773750234</v>
      </c>
    </row>
    <row r="32" spans="1:10" ht="45" x14ac:dyDescent="0.25">
      <c r="C32" s="15" t="s">
        <v>39</v>
      </c>
      <c r="D32" s="13">
        <f>+D31*56</f>
        <v>26722832.360000003</v>
      </c>
    </row>
  </sheetData>
  <mergeCells count="1">
    <mergeCell ref="A4:D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Récap Estimatif détaillé</vt:lpstr>
      <vt:lpstr>Récap Estimatif Général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2021-07-02T09:14:59Z</dcterms:modified>
</cp:coreProperties>
</file>