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WAD\Desktop\PARTAGE ECM\ARTEMIS PROJET CALISTO ETOILE\"/>
    </mc:Choice>
  </mc:AlternateContent>
  <bookViews>
    <workbookView xWindow="0" yWindow="0" windowWidth="20490" windowHeight="7755" activeTab="1"/>
  </bookViews>
  <sheets>
    <sheet name="RECCAP" sheetId="3" r:id="rId1"/>
    <sheet name="Récap Désign" sheetId="4" r:id="rId2"/>
    <sheet name="COMMANDE_POUR_LA_COUVERTURE 4P" sheetId="1" r:id="rId3"/>
  </sheets>
  <externalReferences>
    <externalReference r:id="rId4"/>
    <externalReference r:id="rId5"/>
    <externalReference r:id="rId6"/>
    <externalReference r:id="rId7"/>
  </externalReferences>
  <definedNames>
    <definedName name="COEF.VTE">!#REF!</definedName>
    <definedName name="coef_quant">!#REF!</definedName>
    <definedName name="coeff_prix">!#REF!</definedName>
    <definedName name="constructions">'[1]Programme_-_Finance10'!$F$35</definedName>
    <definedName name="Coût_kilom.6">!#REF!</definedName>
    <definedName name="Dalot_3x2">!#REF!</definedName>
    <definedName name="Dalot_3x4x4">!#REF!</definedName>
    <definedName name="DS.ALL">!#REF!</definedName>
    <definedName name="DS.CLAS">!#REF!</definedName>
    <definedName name="ENG">!#REF!</definedName>
    <definedName name="GO">!#REF!</definedName>
    <definedName name="Itin1_16km5">!#REF!</definedName>
    <definedName name="Itin2_6km5">!#REF!</definedName>
    <definedName name="MAT">!#REF!</definedName>
    <definedName name="MP">!#REF!</definedName>
    <definedName name="N_Trémaux_6x4">[2]Suivi!$T$1</definedName>
    <definedName name="nbre_heure">!#REF!</definedName>
    <definedName name="PERS">!#REF!</definedName>
    <definedName name="PUA">!#REF!</definedName>
    <definedName name="PUC">!#REF!</definedName>
    <definedName name="RDT">!#REF!</definedName>
    <definedName name="Récap_Lot3">!#REF!</definedName>
    <definedName name="Rév_pu">!#REF!</definedName>
    <definedName name="Rév_pu2">!#REF!</definedName>
    <definedName name="Rév_Qté">!#REF!</definedName>
    <definedName name="Rév_Qté2">!#REF!</definedName>
    <definedName name="REVISION1__PU">!#REF!</definedName>
    <definedName name="REVISION1__QTE">!#REF!</definedName>
    <definedName name="REVISION10___PU">!#REF!</definedName>
    <definedName name="REVISION5___QTE">!#REF!</definedName>
    <definedName name="Suivi_dépenses___Montants_planifés">[3]Suivi_budget!#REF!</definedName>
    <definedName name="taux_horaire">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4" l="1"/>
  <c r="D18" i="4"/>
  <c r="D17" i="4"/>
  <c r="D16" i="4"/>
  <c r="D12" i="4"/>
  <c r="D11" i="4"/>
  <c r="D10" i="4"/>
  <c r="D24" i="4" l="1"/>
  <c r="F10" i="3"/>
  <c r="D12" i="3"/>
  <c r="D10" i="3"/>
  <c r="D9" i="3"/>
  <c r="E23" i="1"/>
  <c r="E22" i="1"/>
  <c r="E21" i="1"/>
  <c r="E14" i="1"/>
  <c r="E24" i="1"/>
  <c r="E20" i="1"/>
  <c r="E19" i="1"/>
  <c r="E18" i="1"/>
  <c r="E17" i="1"/>
  <c r="E13" i="1"/>
  <c r="E11" i="1"/>
  <c r="D25" i="1"/>
  <c r="F25" i="1" s="1"/>
  <c r="D15" i="1"/>
  <c r="F15" i="1" s="1"/>
  <c r="D12" i="1"/>
  <c r="D11" i="3" l="1"/>
  <c r="F11" i="3" s="1"/>
  <c r="F12" i="3"/>
  <c r="F9" i="3"/>
  <c r="D28" i="1" l="1"/>
  <c r="F28" i="1" s="1"/>
  <c r="D27" i="1"/>
  <c r="F27" i="1" s="1"/>
  <c r="D26" i="1"/>
  <c r="F26" i="1" s="1"/>
  <c r="D24" i="1"/>
  <c r="F24" i="1" s="1"/>
  <c r="F23" i="1"/>
  <c r="F22" i="1"/>
  <c r="F21" i="1"/>
  <c r="F20" i="1"/>
  <c r="F19" i="1"/>
  <c r="D19" i="1"/>
  <c r="D18" i="1"/>
  <c r="F18" i="1" s="1"/>
  <c r="D17" i="1"/>
  <c r="F17" i="1" s="1"/>
  <c r="F14" i="1"/>
  <c r="F13" i="1"/>
  <c r="F12" i="1"/>
  <c r="D11" i="1"/>
  <c r="F11" i="1" s="1"/>
  <c r="D10" i="1"/>
  <c r="F10" i="1" l="1"/>
  <c r="F29" i="1" s="1"/>
  <c r="F30" i="1" s="1"/>
  <c r="F31" i="1" s="1"/>
  <c r="D29" i="1"/>
</calcChain>
</file>

<file path=xl/sharedStrings.xml><?xml version="1.0" encoding="utf-8"?>
<sst xmlns="http://schemas.openxmlformats.org/spreadsheetml/2006/main" count="130" uniqueCount="42">
  <si>
    <t>REF</t>
  </si>
  <si>
    <t>DESIGNATION</t>
  </si>
  <si>
    <t>UNITE</t>
  </si>
  <si>
    <t>QTE/BAT</t>
  </si>
  <si>
    <t xml:space="preserve">PRIX UNITAIRE </t>
  </si>
  <si>
    <t>MONTANT HT</t>
  </si>
  <si>
    <t>RDC</t>
  </si>
  <si>
    <t>Salon</t>
  </si>
  <si>
    <t>m2</t>
  </si>
  <si>
    <t xml:space="preserve">Chambre </t>
  </si>
  <si>
    <t>Terrasses</t>
  </si>
  <si>
    <t>Cuisine</t>
  </si>
  <si>
    <t>SDB</t>
  </si>
  <si>
    <t>ETAGE</t>
  </si>
  <si>
    <t>Chambre1</t>
  </si>
  <si>
    <t>Chambre 2</t>
  </si>
  <si>
    <t>Chambre 3</t>
  </si>
  <si>
    <t>Cage escalier</t>
  </si>
  <si>
    <t>SDB 1</t>
  </si>
  <si>
    <t>SDB 2</t>
  </si>
  <si>
    <t>SDB 3</t>
  </si>
  <si>
    <t>Dressing</t>
  </si>
  <si>
    <t>Balcon 1</t>
  </si>
  <si>
    <t>Balcon 2</t>
  </si>
  <si>
    <t>Contour</t>
  </si>
  <si>
    <t>TOTAL</t>
  </si>
  <si>
    <r>
      <rPr>
        <b/>
        <u/>
        <sz val="12"/>
        <color rgb="FF000000"/>
        <rFont val="Trebuchet MS"/>
        <family val="2"/>
      </rPr>
      <t xml:space="preserve">PROJET CALISTO ETOILE </t>
    </r>
    <r>
      <rPr>
        <b/>
        <sz val="12"/>
        <color rgb="FF000000"/>
        <rFont val="Trebuchet MS"/>
        <family val="2"/>
      </rPr>
      <t>: COMMANDE POUR LE FAUX PLAFOND VILLAS SUR 400 M²</t>
    </r>
  </si>
  <si>
    <t>Lambris PVC</t>
  </si>
  <si>
    <r>
      <rPr>
        <b/>
        <u/>
        <sz val="11"/>
        <color rgb="FF000000"/>
        <rFont val="Calibri"/>
        <family val="2"/>
      </rPr>
      <t>NB:</t>
    </r>
    <r>
      <rPr>
        <sz val="11"/>
        <color rgb="FF000000"/>
        <rFont val="Calibri"/>
        <family val="2"/>
      </rPr>
      <t xml:space="preserve"> Les balcons recevront des faux plafonds en lambris PVC avec teinte et motifs à faire valider par l'architecte et le reste du projet avec des plaques BA 13 non hydrofugées</t>
    </r>
  </si>
  <si>
    <t>Descriptif FP</t>
  </si>
  <si>
    <t>Faux-plafond BA13 Standard sans Joint Creux</t>
  </si>
  <si>
    <t>Faux-plafond BA13 Standard Avec Joint Creux</t>
  </si>
  <si>
    <t>Faux-plafond Hydrofuge sans joint creux</t>
  </si>
  <si>
    <t>Joint creux pour toutes pièces concernées</t>
  </si>
  <si>
    <t>ml</t>
  </si>
  <si>
    <t xml:space="preserve">Joint creux 5cm en BA13 </t>
  </si>
  <si>
    <t>TVA</t>
  </si>
  <si>
    <t>TTC</t>
  </si>
  <si>
    <t>Faux Plafond BA 13 Standard</t>
  </si>
  <si>
    <t>Faux Plafond BA 13 Hydro</t>
  </si>
  <si>
    <t>Joint creux périphérique</t>
  </si>
  <si>
    <r>
      <rPr>
        <b/>
        <u/>
        <sz val="12"/>
        <color rgb="FF000000"/>
        <rFont val="Trebuchet MS"/>
        <family val="2"/>
      </rPr>
      <t xml:space="preserve">PROJET CALISTO ETOILE </t>
    </r>
    <r>
      <rPr>
        <b/>
        <sz val="12"/>
        <color rgb="FF000000"/>
        <rFont val="Trebuchet MS"/>
        <family val="2"/>
      </rPr>
      <t>: FAUX PLAFOND VILLAS SUR 400 M²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</si>
</sst>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 &quot;#,##0&quot; &quot;;&quot;-&quot;#,##0&quot; &quot;;&quot; - &quot;;&quot; &quot;@&quot; &quot;"/>
    <numFmt numFmtId="165" formatCode="&quot; &quot;#,##0&quot;     &quot;;&quot;-&quot;#,##0&quot;     &quot;;&quot; -     &quot;;&quot; &quot;@&quot; &quot;"/>
    <numFmt numFmtId="166" formatCode="&quot; &quot;#,##0.00&quot;     &quot;;&quot;-&quot;#,##0.00&quot;     &quot;;&quot; -     &quot;;&quot; &quot;@&quot; &quot;"/>
    <numFmt numFmtId="167" formatCode="0.000"/>
  </numFmts>
  <fonts count="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Trebuchet MS"/>
      <family val="2"/>
    </font>
    <font>
      <sz val="10"/>
      <color rgb="FF000000"/>
      <name val="MS Sans Serif"/>
    </font>
    <font>
      <sz val="12"/>
      <color rgb="FF000000"/>
      <name val="Trebuchet MS"/>
      <family val="2"/>
    </font>
    <font>
      <b/>
      <u/>
      <sz val="11"/>
      <color rgb="FF000000"/>
      <name val="Calibri"/>
      <family val="2"/>
    </font>
    <font>
      <b/>
      <u/>
      <sz val="12"/>
      <color rgb="FF000000"/>
      <name val="Trebuchet MS"/>
      <family val="2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4" fillId="0" borderId="0" applyNumberFormat="0" applyBorder="0" applyProtection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164" fontId="3" fillId="2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5" fontId="5" fillId="4" borderId="5" xfId="1" applyNumberFormat="1" applyFont="1" applyFill="1" applyBorder="1" applyAlignment="1">
      <alignment horizontal="center" vertical="center"/>
    </xf>
    <xf numFmtId="164" fontId="5" fillId="4" borderId="4" xfId="2" applyFont="1" applyFill="1" applyBorder="1" applyAlignment="1">
      <alignment horizontal="center" vertical="center"/>
    </xf>
    <xf numFmtId="2" fontId="0" fillId="0" borderId="0" xfId="0" applyNumberFormat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/>
    </xf>
    <xf numFmtId="4" fontId="0" fillId="0" borderId="0" xfId="0" applyNumberFormat="1"/>
    <xf numFmtId="167" fontId="0" fillId="0" borderId="0" xfId="0" applyNumberFormat="1"/>
    <xf numFmtId="166" fontId="3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165" fontId="5" fillId="5" borderId="3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/>
    </xf>
    <xf numFmtId="164" fontId="3" fillId="2" borderId="1" xfId="2" applyFont="1" applyFill="1" applyBorder="1" applyAlignment="1">
      <alignment horizontal="center" vertical="center" wrapText="1"/>
    </xf>
    <xf numFmtId="164" fontId="5" fillId="4" borderId="5" xfId="2" applyFont="1" applyFill="1" applyBorder="1" applyAlignment="1">
      <alignment horizontal="center" vertical="center"/>
    </xf>
    <xf numFmtId="0" fontId="0" fillId="0" borderId="10" xfId="0" applyBorder="1"/>
    <xf numFmtId="164" fontId="5" fillId="6" borderId="5" xfId="2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wrapText="1"/>
    </xf>
    <xf numFmtId="0" fontId="8" fillId="8" borderId="10" xfId="0" applyFont="1" applyFill="1" applyBorder="1" applyAlignment="1">
      <alignment wrapText="1"/>
    </xf>
    <xf numFmtId="0" fontId="8" fillId="9" borderId="10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3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165" fontId="5" fillId="4" borderId="9" xfId="1" applyNumberFormat="1" applyFont="1" applyFill="1" applyBorder="1" applyAlignment="1">
      <alignment horizontal="center" vertical="center"/>
    </xf>
    <xf numFmtId="164" fontId="5" fillId="4" borderId="9" xfId="2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 wrapText="1"/>
    </xf>
    <xf numFmtId="165" fontId="5" fillId="10" borderId="10" xfId="0" applyNumberFormat="1" applyFont="1" applyFill="1" applyBorder="1" applyAlignment="1">
      <alignment horizontal="center" vertical="center"/>
    </xf>
    <xf numFmtId="166" fontId="5" fillId="10" borderId="10" xfId="0" applyNumberFormat="1" applyFont="1" applyFill="1" applyBorder="1" applyAlignment="1">
      <alignment horizontal="center" vertical="center"/>
    </xf>
    <xf numFmtId="165" fontId="5" fillId="11" borderId="10" xfId="1" applyNumberFormat="1" applyFont="1" applyFill="1" applyBorder="1" applyAlignment="1">
      <alignment horizontal="center" vertical="center"/>
    </xf>
    <xf numFmtId="164" fontId="5" fillId="11" borderId="10" xfId="2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4" fontId="3" fillId="4" borderId="10" xfId="2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3" fillId="4" borderId="0" xfId="2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 wrapText="1"/>
    </xf>
    <xf numFmtId="2" fontId="3" fillId="3" borderId="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2" fontId="3" fillId="3" borderId="9" xfId="1" applyNumberFormat="1" applyFont="1" applyFill="1" applyBorder="1" applyAlignment="1">
      <alignment horizontal="center" vertical="center"/>
    </xf>
    <xf numFmtId="2" fontId="3" fillId="3" borderId="0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5" fillId="6" borderId="11" xfId="2" applyFont="1" applyFill="1" applyBorder="1" applyAlignment="1">
      <alignment horizontal="center" vertical="center"/>
    </xf>
    <xf numFmtId="164" fontId="5" fillId="6" borderId="9" xfId="2" applyFont="1" applyFill="1" applyBorder="1" applyAlignment="1">
      <alignment horizontal="center" vertical="center"/>
    </xf>
    <xf numFmtId="164" fontId="5" fillId="6" borderId="12" xfId="2" applyFont="1" applyFill="1" applyBorder="1" applyAlignment="1">
      <alignment horizontal="center" vertical="center"/>
    </xf>
  </cellXfs>
  <cellStyles count="3">
    <cellStyle name="Milliers [0] 2" xfId="2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9528</xdr:colOff>
      <xdr:row>0</xdr:row>
      <xdr:rowOff>9525</xdr:rowOff>
    </xdr:from>
    <xdr:ext cx="1190621" cy="695328"/>
    <xdr:pic>
      <xdr:nvPicPr>
        <xdr:cNvPr id="2" name="Image 1">
          <a:extLst>
            <a:ext uri="{FF2B5EF4-FFF2-40B4-BE49-F238E27FC236}">
              <a16:creationId xmlns:a16="http://schemas.microsoft.com/office/drawing/2014/main" xmlns="" id="{1A76D1A4-F999-4052-A4C7-04EFEDF34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8" y="9525"/>
          <a:ext cx="1190621" cy="69532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9528</xdr:colOff>
      <xdr:row>0</xdr:row>
      <xdr:rowOff>9525</xdr:rowOff>
    </xdr:from>
    <xdr:ext cx="1190621" cy="695328"/>
    <xdr:pic>
      <xdr:nvPicPr>
        <xdr:cNvPr id="2" name="Image 1">
          <a:extLst>
            <a:ext uri="{FF2B5EF4-FFF2-40B4-BE49-F238E27FC236}">
              <a16:creationId xmlns:a16="http://schemas.microsoft.com/office/drawing/2014/main" xmlns="" id="{A7348321-4E58-42F2-9BEC-EEF48D0F7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8" y="9525"/>
          <a:ext cx="1190621" cy="69532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9528</xdr:colOff>
      <xdr:row>0</xdr:row>
      <xdr:rowOff>9525</xdr:rowOff>
    </xdr:from>
    <xdr:ext cx="1190621" cy="695328"/>
    <xdr:pic>
      <xdr:nvPicPr>
        <xdr:cNvPr id="2" name="Image 1">
          <a:extLst>
            <a:ext uri="{FF2B5EF4-FFF2-40B4-BE49-F238E27FC236}">
              <a16:creationId xmlns:a16="http://schemas.microsoft.com/office/drawing/2014/main" xmlns="" id="{A7348321-4E58-42F2-9BEC-EEF48D0F7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8" y="9525"/>
          <a:ext cx="1190621" cy="69532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YDAN_JEAN/Dropbox%20(KAYDAN)/ARCHIVES%20-%20KAYDAN%20RE/Projets/BNETD/Teaser%20final%20BNETD/Teaser%20de%2022052018%20V4/Modele%20BNETD%2022052018%20MGOS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US%20DETAIL%20PRIX\Users\SODISTRA\Documents\Mi%20Nigu&#233;mon\DOCS%20ROUTE\TRAVAUX%20ROUTIERS\Docs%20SODISTRA\Sous-D&#233;tails-Prix-SODISTR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ynziko.workspace.office.live.com/Documents%20and%20Settings/Visiteurs/Bureau/Bocanda%20Prog.2004/Ficihiers%20excel/Budget%20d'ex&#233;_chan_Boc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hiffrage%20PLANS%20ARCHI%20CALLISTO%20ETO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éle Economqiue"/>
      <sheetName val="Recap surface"/>
      <sheetName val="Bilan Promoteurs cumul"/>
      <sheetName val="BILAN DES ACTEURS"/>
      <sheetName val="Bilan Promoteur 1"/>
      <sheetName val="Promoteur 1"/>
      <sheetName val="Bilan Promoteur 2"/>
      <sheetName val="Promoteur 2"/>
      <sheetName val="Hypothèses"/>
      <sheetName val="DQE 3P Jumelé"/>
      <sheetName val="DQE D4P Jumelé"/>
      <sheetName val="DQE D4P individuel"/>
      <sheetName val="DQE D5P"/>
      <sheetName val="Programme - Finance (2)"/>
      <sheetName val="TABLEAU CHARGES"/>
      <sheetName val="charges habitat"/>
      <sheetName val="Promotion immobiliere initiale"/>
      <sheetName val="Promotion immobiliere 1"/>
      <sheetName val="Promotion immobiliere 2"/>
      <sheetName val="Programme Immobilier"/>
      <sheetName val="AN1 Promoteur 1"/>
      <sheetName val="AN1 Promoteur 2"/>
      <sheetName val="AN2 Promoteur 1"/>
      <sheetName val="AN2 Promoteur 2"/>
      <sheetName val="Programme - Finance"/>
      <sheetName val="Feuil1"/>
      <sheetName val="Lots"/>
      <sheetName val="Euribor"/>
      <sheetName val="Programme proposé"/>
      <sheetName val="Tableau Gosse"/>
      <sheetName val="Promotion selon Kaydan"/>
      <sheetName val="Feuil2"/>
      <sheetName val="RECAP (2)"/>
      <sheetName val="RECAP"/>
      <sheetName val="sources"/>
      <sheetName val="sources (2)"/>
      <sheetName val="sources (3)"/>
      <sheetName val="sources (4)"/>
      <sheetName val="sources (5)"/>
      <sheetName val="sources (6)"/>
      <sheetName val="Modéle_Economqiue"/>
      <sheetName val="Recap_surface"/>
      <sheetName val="Bilan_Promoteurs_cumul"/>
      <sheetName val="BILAN_DES_ACTEURS"/>
      <sheetName val="Bilan_Promoteur_1"/>
      <sheetName val="Promoteur_1"/>
      <sheetName val="Bilan_Promoteur_2"/>
      <sheetName val="Promoteur_2"/>
      <sheetName val="DQE_3P_Jumelé"/>
      <sheetName val="DQE_D4P_Jumelé"/>
      <sheetName val="DQE_D4P_individuel"/>
      <sheetName val="DQE_D5P"/>
      <sheetName val="Programme_-_Finance_(2)"/>
      <sheetName val="TABLEAU_CHARGES"/>
      <sheetName val="charges_habitat"/>
      <sheetName val="Promotion_immobiliere_initiale"/>
      <sheetName val="Promotion_immobiliere_1"/>
      <sheetName val="Promotion_immobiliere_2"/>
      <sheetName val="Programme_Immobilier"/>
      <sheetName val="AN1_Promoteur_1"/>
      <sheetName val="AN1_Promoteur_2"/>
      <sheetName val="AN2_Promoteur_1"/>
      <sheetName val="AN2_Promoteur_2"/>
      <sheetName val="Programme_-_Finance"/>
      <sheetName val="Programme_proposé"/>
      <sheetName val="Tableau_Gosse"/>
      <sheetName val="Promotion_selon_Kaydan"/>
      <sheetName val="RECAP_(2)"/>
      <sheetName val="sources_(2)"/>
      <sheetName val="sources_(3)"/>
      <sheetName val="sources_(4)"/>
      <sheetName val="sources_(5)"/>
      <sheetName val="sources_(6)"/>
      <sheetName val="Modéle_Economqiue1"/>
      <sheetName val="Recap_surface1"/>
      <sheetName val="Bilan_Promoteurs_cumul1"/>
      <sheetName val="BILAN_DES_ACTEURS1"/>
      <sheetName val="Bilan_Promoteur_11"/>
      <sheetName val="Promoteur_11"/>
      <sheetName val="Bilan_Promoteur_21"/>
      <sheetName val="Promoteur_21"/>
      <sheetName val="DQE_3P_Jumelé1"/>
      <sheetName val="DQE_D4P_Jumelé1"/>
      <sheetName val="DQE_D4P_individuel1"/>
      <sheetName val="DQE_D5P1"/>
      <sheetName val="Programme_-_Finance_(2)1"/>
      <sheetName val="TABLEAU_CHARGES1"/>
      <sheetName val="charges_habitat1"/>
      <sheetName val="Promotion_immobiliere_initiale1"/>
      <sheetName val="Promotion_immobiliere_11"/>
      <sheetName val="Promotion_immobiliere_21"/>
      <sheetName val="Programme_Immobilier1"/>
      <sheetName val="AN1_Promoteur_11"/>
      <sheetName val="AN1_Promoteur_21"/>
      <sheetName val="AN2_Promoteur_11"/>
      <sheetName val="AN2_Promoteur_21"/>
      <sheetName val="Programme_-_Finance1"/>
      <sheetName val="Programme_proposé1"/>
      <sheetName val="Tableau_Gosse1"/>
      <sheetName val="Promotion_selon_Kaydan1"/>
      <sheetName val="RECAP_(2)1"/>
      <sheetName val="sources_(2)1"/>
      <sheetName val="sources_(3)1"/>
      <sheetName val="sources_(4)1"/>
      <sheetName val="sources_(5)1"/>
      <sheetName val="sources_(6)1"/>
      <sheetName val="Modéle_Economqiue2"/>
      <sheetName val="Recap_surface2"/>
      <sheetName val="Bilan_Promoteurs_cumul2"/>
      <sheetName val="BILAN_DES_ACTEURS2"/>
      <sheetName val="Bilan_Promoteur_12"/>
      <sheetName val="Promoteur_12"/>
      <sheetName val="Bilan_Promoteur_22"/>
      <sheetName val="Promoteur_22"/>
      <sheetName val="DQE_3P_Jumelé2"/>
      <sheetName val="DQE_D4P_Jumelé2"/>
      <sheetName val="DQE_D4P_individuel2"/>
      <sheetName val="DQE_D5P2"/>
      <sheetName val="Programme_-_Finance_(2)2"/>
      <sheetName val="TABLEAU_CHARGES2"/>
      <sheetName val="charges_habitat2"/>
      <sheetName val="Promotion_immobiliere_initiale2"/>
      <sheetName val="Promotion_immobiliere_12"/>
      <sheetName val="Promotion_immobiliere_22"/>
      <sheetName val="Programme_Immobilier2"/>
      <sheetName val="AN1_Promoteur_12"/>
      <sheetName val="AN1_Promoteur_22"/>
      <sheetName val="AN2_Promoteur_12"/>
      <sheetName val="AN2_Promoteur_22"/>
      <sheetName val="Programme_-_Finance2"/>
      <sheetName val="Programme_proposé2"/>
      <sheetName val="Tableau_Gosse2"/>
      <sheetName val="Promotion_selon_Kaydan2"/>
      <sheetName val="RECAP_(2)2"/>
      <sheetName val="sources_(2)2"/>
      <sheetName val="sources_(3)2"/>
      <sheetName val="sources_(4)2"/>
      <sheetName val="sources_(5)2"/>
      <sheetName val="sources_(6)2"/>
      <sheetName val="Modéle_Economqiue3"/>
      <sheetName val="Recap_surface3"/>
      <sheetName val="Bilan_Promoteurs_cumul3"/>
      <sheetName val="BILAN_DES_ACTEURS3"/>
      <sheetName val="Bilan_Promoteur_13"/>
      <sheetName val="Promoteur_13"/>
      <sheetName val="Bilan_Promoteur_23"/>
      <sheetName val="Promoteur_23"/>
      <sheetName val="DQE_3P_Jumelé3"/>
      <sheetName val="DQE_D4P_Jumelé3"/>
      <sheetName val="DQE_D4P_individuel3"/>
      <sheetName val="DQE_D5P3"/>
      <sheetName val="Programme_-_Finance_(2)3"/>
      <sheetName val="TABLEAU_CHARGES3"/>
      <sheetName val="charges_habitat3"/>
      <sheetName val="Promotion_immobiliere_initiale3"/>
      <sheetName val="Promotion_immobiliere_13"/>
      <sheetName val="Promotion_immobiliere_23"/>
      <sheetName val="Programme_Immobilier3"/>
      <sheetName val="AN1_Promoteur_13"/>
      <sheetName val="AN1_Promoteur_23"/>
      <sheetName val="AN2_Promoteur_13"/>
      <sheetName val="AN2_Promoteur_23"/>
      <sheetName val="Programme_-_Finance3"/>
      <sheetName val="Programme_proposé3"/>
      <sheetName val="Tableau_Gosse3"/>
      <sheetName val="Promotion_selon_Kaydan3"/>
      <sheetName val="RECAP_(2)3"/>
      <sheetName val="sources_(2)3"/>
      <sheetName val="sources_(3)3"/>
      <sheetName val="sources_(4)3"/>
      <sheetName val="sources_(5)3"/>
      <sheetName val="sources_(6)3"/>
      <sheetName val="Modéle_Economqiue4"/>
      <sheetName val="Recap_surface4"/>
      <sheetName val="Bilan_Promoteurs_cumul4"/>
      <sheetName val="BILAN_DES_ACTEURS4"/>
      <sheetName val="Bilan_Promoteur_14"/>
      <sheetName val="Promoteur_14"/>
      <sheetName val="Bilan_Promoteur_24"/>
      <sheetName val="Promoteur_24"/>
      <sheetName val="DQE_3P_Jumelé4"/>
      <sheetName val="DQE_D4P_Jumelé4"/>
      <sheetName val="DQE_D4P_individuel4"/>
      <sheetName val="DQE_D5P4"/>
      <sheetName val="Programme_-_Finance_(2)4"/>
      <sheetName val="TABLEAU_CHARGES4"/>
      <sheetName val="charges_habitat4"/>
      <sheetName val="Promotion_immobiliere_initiale4"/>
      <sheetName val="Promotion_immobiliere_14"/>
      <sheetName val="Promotion_immobiliere_24"/>
      <sheetName val="Programme_Immobilier4"/>
      <sheetName val="AN1_Promoteur_14"/>
      <sheetName val="AN1_Promoteur_24"/>
      <sheetName val="AN2_Promoteur_14"/>
      <sheetName val="AN2_Promoteur_24"/>
      <sheetName val="Programme_-_Finance4"/>
      <sheetName val="Programme_proposé4"/>
      <sheetName val="Tableau_Gosse4"/>
      <sheetName val="Promotion_selon_Kaydan4"/>
      <sheetName val="RECAP_(2)4"/>
      <sheetName val="sources_(2)4"/>
      <sheetName val="sources_(3)4"/>
      <sheetName val="sources_(4)4"/>
      <sheetName val="sources_(5)4"/>
      <sheetName val="sources_(6)4"/>
      <sheetName val="Modéle_Economqiue5"/>
      <sheetName val="Recap_surface5"/>
      <sheetName val="Bilan_Promoteurs_cumul5"/>
      <sheetName val="BILAN_DES_ACTEURS5"/>
      <sheetName val="Bilan_Promoteur_15"/>
      <sheetName val="Promoteur_15"/>
      <sheetName val="Bilan_Promoteur_25"/>
      <sheetName val="Promoteur_25"/>
      <sheetName val="DQE_3P_Jumelé5"/>
      <sheetName val="DQE_D4P_Jumelé5"/>
      <sheetName val="DQE_D4P_individuel5"/>
      <sheetName val="DQE_D5P5"/>
      <sheetName val="Programme_-_Finance_(2)5"/>
      <sheetName val="TABLEAU_CHARGES5"/>
      <sheetName val="charges_habitat5"/>
      <sheetName val="Promotion_immobiliere_initiale5"/>
      <sheetName val="Promotion_immobiliere_15"/>
      <sheetName val="Promotion_immobiliere_25"/>
      <sheetName val="Programme_Immobilier5"/>
      <sheetName val="AN1_Promoteur_15"/>
      <sheetName val="AN1_Promoteur_25"/>
      <sheetName val="AN2_Promoteur_15"/>
      <sheetName val="AN2_Promoteur_25"/>
      <sheetName val="Programme_-_Finance5"/>
      <sheetName val="Programme_proposé5"/>
      <sheetName val="Tableau_Gosse5"/>
      <sheetName val="Promotion_selon_Kaydan5"/>
      <sheetName val="RECAP_(2)5"/>
      <sheetName val="sources_(2)5"/>
      <sheetName val="sources_(3)5"/>
      <sheetName val="sources_(4)5"/>
      <sheetName val="sources_(5)5"/>
      <sheetName val="sources_(6)5"/>
      <sheetName val="Modéle_Economqiue6"/>
      <sheetName val="Recap_surface6"/>
      <sheetName val="Bilan_Promoteurs_cumul6"/>
      <sheetName val="BILAN_DES_ACTEURS6"/>
      <sheetName val="Bilan_Promoteur_16"/>
      <sheetName val="Promoteur_16"/>
      <sheetName val="Bilan_Promoteur_26"/>
      <sheetName val="Promoteur_26"/>
      <sheetName val="DQE_3P_Jumelé6"/>
      <sheetName val="DQE_D4P_Jumelé6"/>
      <sheetName val="DQE_D4P_individuel6"/>
      <sheetName val="DQE_D5P6"/>
      <sheetName val="Programme_-_Finance_(2)6"/>
      <sheetName val="TABLEAU_CHARGES6"/>
      <sheetName val="charges_habitat6"/>
      <sheetName val="Promotion_immobiliere_initiale6"/>
      <sheetName val="Promotion_immobiliere_16"/>
      <sheetName val="Promotion_immobiliere_26"/>
      <sheetName val="Programme_Immobilier6"/>
      <sheetName val="AN1_Promoteur_16"/>
      <sheetName val="AN1_Promoteur_26"/>
      <sheetName val="AN2_Promoteur_16"/>
      <sheetName val="AN2_Promoteur_26"/>
      <sheetName val="Programme_-_Finance6"/>
      <sheetName val="Programme_proposé6"/>
      <sheetName val="Tableau_Gosse6"/>
      <sheetName val="Promotion_selon_Kaydan6"/>
      <sheetName val="RECAP_(2)6"/>
      <sheetName val="sources_(2)6"/>
      <sheetName val="sources_(3)6"/>
      <sheetName val="sources_(4)6"/>
      <sheetName val="sources_(5)6"/>
      <sheetName val="sources_(6)6"/>
      <sheetName val="Modéle_Economqiue8"/>
      <sheetName val="Recap_surface8"/>
      <sheetName val="Bilan_Promoteurs_cumul8"/>
      <sheetName val="BILAN_DES_ACTEURS8"/>
      <sheetName val="Bilan_Promoteur_18"/>
      <sheetName val="Promoteur_18"/>
      <sheetName val="Bilan_Promoteur_28"/>
      <sheetName val="Promoteur_28"/>
      <sheetName val="DQE_3P_Jumelé8"/>
      <sheetName val="DQE_D4P_Jumelé8"/>
      <sheetName val="DQE_D4P_individuel8"/>
      <sheetName val="DQE_D5P8"/>
      <sheetName val="Programme_-_Finance_(2)8"/>
      <sheetName val="TABLEAU_CHARGES8"/>
      <sheetName val="charges_habitat8"/>
      <sheetName val="Promotion_immobiliere_initiale8"/>
      <sheetName val="Promotion_immobiliere_18"/>
      <sheetName val="Promotion_immobiliere_28"/>
      <sheetName val="Programme_Immobilier8"/>
      <sheetName val="AN1_Promoteur_18"/>
      <sheetName val="AN1_Promoteur_28"/>
      <sheetName val="AN2_Promoteur_18"/>
      <sheetName val="AN2_Promoteur_28"/>
      <sheetName val="Programme_-_Finance8"/>
      <sheetName val="Programme_proposé8"/>
      <sheetName val="Tableau_Gosse8"/>
      <sheetName val="Promotion_selon_Kaydan8"/>
      <sheetName val="RECAP_(2)8"/>
      <sheetName val="sources_(2)8"/>
      <sheetName val="sources_(3)8"/>
      <sheetName val="sources_(4)8"/>
      <sheetName val="sources_(5)8"/>
      <sheetName val="sources_(6)8"/>
      <sheetName val="Modéle_Economqiue7"/>
      <sheetName val="Recap_surface7"/>
      <sheetName val="Bilan_Promoteurs_cumul7"/>
      <sheetName val="BILAN_DES_ACTEURS7"/>
      <sheetName val="Bilan_Promoteur_17"/>
      <sheetName val="Promoteur_17"/>
      <sheetName val="Bilan_Promoteur_27"/>
      <sheetName val="Promoteur_27"/>
      <sheetName val="DQE_3P_Jumelé7"/>
      <sheetName val="DQE_D4P_Jumelé7"/>
      <sheetName val="DQE_D4P_individuel7"/>
      <sheetName val="DQE_D5P7"/>
      <sheetName val="Programme_-_Finance_(2)7"/>
      <sheetName val="TABLEAU_CHARGES7"/>
      <sheetName val="charges_habitat7"/>
      <sheetName val="Promotion_immobiliere_initiale7"/>
      <sheetName val="Promotion_immobiliere_17"/>
      <sheetName val="Promotion_immobiliere_27"/>
      <sheetName val="Programme_Immobilier7"/>
      <sheetName val="AN1_Promoteur_17"/>
      <sheetName val="AN1_Promoteur_27"/>
      <sheetName val="AN2_Promoteur_17"/>
      <sheetName val="AN2_Promoteur_27"/>
      <sheetName val="Programme_-_Finance7"/>
      <sheetName val="Programme_proposé7"/>
      <sheetName val="Tableau_Gosse7"/>
      <sheetName val="Promotion_selon_Kaydan7"/>
      <sheetName val="RECAP_(2)7"/>
      <sheetName val="sources_(2)7"/>
      <sheetName val="sources_(3)7"/>
      <sheetName val="sources_(4)7"/>
      <sheetName val="sources_(5)7"/>
      <sheetName val="sources_(6)7"/>
      <sheetName val="Modéle_Economqiue9"/>
      <sheetName val="Recap_surface9"/>
      <sheetName val="Bilan_Promoteurs_cumul9"/>
      <sheetName val="BILAN_DES_ACTEURS9"/>
      <sheetName val="Bilan_Promoteur_19"/>
      <sheetName val="Promoteur_19"/>
      <sheetName val="Bilan_Promoteur_29"/>
      <sheetName val="Promoteur_29"/>
      <sheetName val="DQE_3P_Jumelé9"/>
      <sheetName val="DQE_D4P_Jumelé9"/>
      <sheetName val="DQE_D4P_individuel9"/>
      <sheetName val="DQE_D5P9"/>
      <sheetName val="Programme_-_Finance_(2)9"/>
      <sheetName val="TABLEAU_CHARGES9"/>
      <sheetName val="charges_habitat9"/>
      <sheetName val="Promotion_immobiliere_initiale9"/>
      <sheetName val="Promotion_immobiliere_19"/>
      <sheetName val="Promotion_immobiliere_29"/>
      <sheetName val="Programme_Immobilier9"/>
      <sheetName val="AN1_Promoteur_19"/>
      <sheetName val="AN1_Promoteur_29"/>
      <sheetName val="AN2_Promoteur_19"/>
      <sheetName val="AN2_Promoteur_29"/>
      <sheetName val="Programme_-_Finance9"/>
      <sheetName val="Programme_proposé9"/>
      <sheetName val="Tableau_Gosse9"/>
      <sheetName val="Promotion_selon_Kaydan9"/>
      <sheetName val="RECAP_(2)9"/>
      <sheetName val="sources_(2)9"/>
      <sheetName val="sources_(3)9"/>
      <sheetName val="sources_(4)9"/>
      <sheetName val="sources_(5)9"/>
      <sheetName val="sources_(6)9"/>
      <sheetName val="Modéle_Economqiue10"/>
      <sheetName val="Recap_surface10"/>
      <sheetName val="Bilan_Promoteurs_cumul10"/>
      <sheetName val="BILAN_DES_ACTEURS10"/>
      <sheetName val="Bilan_Promoteur_110"/>
      <sheetName val="Promoteur_110"/>
      <sheetName val="Bilan_Promoteur_210"/>
      <sheetName val="Promoteur_210"/>
      <sheetName val="DQE_3P_Jumelé10"/>
      <sheetName val="DQE_D4P_Jumelé10"/>
      <sheetName val="DQE_D4P_individuel10"/>
      <sheetName val="DQE_D5P10"/>
      <sheetName val="Programme_-_Finance_(2)10"/>
      <sheetName val="TABLEAU_CHARGES10"/>
      <sheetName val="charges_habitat10"/>
      <sheetName val="Promotion_immobiliere_initial10"/>
      <sheetName val="Promotion_immobiliere_110"/>
      <sheetName val="Promotion_immobiliere_210"/>
      <sheetName val="Programme_Immobilier10"/>
      <sheetName val="AN1_Promoteur_110"/>
      <sheetName val="AN1_Promoteur_210"/>
      <sheetName val="AN2_Promoteur_110"/>
      <sheetName val="AN2_Promoteur_210"/>
      <sheetName val="Programme_-_Finance10"/>
      <sheetName val="Programme_proposé10"/>
      <sheetName val="Tableau_Gosse10"/>
      <sheetName val="Promotion_selon_Kaydan10"/>
      <sheetName val="RECAP_(2)10"/>
      <sheetName val="sources_(2)10"/>
      <sheetName val="sources_(3)10"/>
      <sheetName val="sources_(4)10"/>
      <sheetName val="sources_(5)10"/>
      <sheetName val="sources_(6)10"/>
      <sheetName val="Modéle_Economqiue11"/>
      <sheetName val="Recap_surface11"/>
      <sheetName val="Bilan_Promoteurs_cumul11"/>
      <sheetName val="BILAN_DES_ACTEURS11"/>
      <sheetName val="Bilan_Promoteur_111"/>
      <sheetName val="Promoteur_111"/>
      <sheetName val="Bilan_Promoteur_211"/>
      <sheetName val="Promoteur_211"/>
      <sheetName val="DQE_3P_Jumelé11"/>
      <sheetName val="DQE_D4P_Jumelé11"/>
      <sheetName val="DQE_D4P_individuel11"/>
      <sheetName val="DQE_D5P11"/>
      <sheetName val="Programme_-_Finance_(2)11"/>
      <sheetName val="TABLEAU_CHARGES11"/>
      <sheetName val="charges_habitat11"/>
      <sheetName val="Promotion_immobiliere_initial11"/>
      <sheetName val="Promotion_immobiliere_111"/>
      <sheetName val="Promotion_immobiliere_211"/>
      <sheetName val="Programme_Immobilier11"/>
      <sheetName val="AN1_Promoteur_111"/>
      <sheetName val="AN1_Promoteur_211"/>
      <sheetName val="AN2_Promoteur_111"/>
      <sheetName val="AN2_Promoteur_211"/>
      <sheetName val="Programme_-_Finance11"/>
      <sheetName val="Programme_proposé11"/>
      <sheetName val="Tableau_Gosse11"/>
      <sheetName val="Promotion_selon_Kaydan11"/>
      <sheetName val="RECAP_(2)11"/>
      <sheetName val="sources_(2)11"/>
      <sheetName val="sources_(3)11"/>
      <sheetName val="sources_(4)11"/>
      <sheetName val="sources_(5)11"/>
      <sheetName val="sources_(6)11"/>
      <sheetName val="Modéle_Economqiue12"/>
      <sheetName val="Recap_surface12"/>
      <sheetName val="Bilan_Promoteurs_cumul12"/>
      <sheetName val="BILAN_DES_ACTEURS12"/>
      <sheetName val="Bilan_Promoteur_112"/>
      <sheetName val="Promoteur_112"/>
      <sheetName val="Bilan_Promoteur_212"/>
      <sheetName val="Promoteur_212"/>
      <sheetName val="DQE_3P_Jumelé12"/>
      <sheetName val="DQE_D4P_Jumelé12"/>
      <sheetName val="DQE_D4P_individuel12"/>
      <sheetName val="DQE_D5P12"/>
      <sheetName val="Programme_-_Finance_(2)12"/>
      <sheetName val="TABLEAU_CHARGES12"/>
      <sheetName val="charges_habitat12"/>
      <sheetName val="Promotion_immobiliere_initial12"/>
      <sheetName val="Promotion_immobiliere_112"/>
      <sheetName val="Promotion_immobiliere_212"/>
      <sheetName val="Programme_Immobilier12"/>
      <sheetName val="AN1_Promoteur_112"/>
      <sheetName val="AN1_Promoteur_212"/>
      <sheetName val="AN2_Promoteur_112"/>
      <sheetName val="AN2_Promoteur_212"/>
      <sheetName val="Programme_-_Finance12"/>
      <sheetName val="Programme_proposé12"/>
      <sheetName val="Tableau_Gosse12"/>
      <sheetName val="Promotion_selon_Kaydan12"/>
      <sheetName val="RECAP_(2)12"/>
      <sheetName val="sources_(2)12"/>
      <sheetName val="sources_(3)12"/>
      <sheetName val="sources_(4)12"/>
      <sheetName val="sources_(5)12"/>
      <sheetName val="sources_(6)12"/>
      <sheetName val="Modéle_Economqiue13"/>
      <sheetName val="Recap_surface13"/>
      <sheetName val="Bilan_Promoteurs_cumul13"/>
      <sheetName val="BILAN_DES_ACTEURS13"/>
      <sheetName val="Bilan_Promoteur_113"/>
      <sheetName val="Promoteur_113"/>
      <sheetName val="Bilan_Promoteur_213"/>
      <sheetName val="Promoteur_213"/>
      <sheetName val="DQE_3P_Jumelé13"/>
      <sheetName val="DQE_D4P_Jumelé13"/>
      <sheetName val="DQE_D4P_individuel13"/>
      <sheetName val="DQE_D5P13"/>
      <sheetName val="Programme_-_Finance_(2)13"/>
      <sheetName val="TABLEAU_CHARGES13"/>
      <sheetName val="charges_habitat13"/>
      <sheetName val="Promotion_immobiliere_initial13"/>
      <sheetName val="Promotion_immobiliere_113"/>
      <sheetName val="Promotion_immobiliere_213"/>
      <sheetName val="Programme_Immobilier13"/>
      <sheetName val="AN1_Promoteur_113"/>
      <sheetName val="AN1_Promoteur_213"/>
      <sheetName val="AN2_Promoteur_113"/>
      <sheetName val="AN2_Promoteur_213"/>
      <sheetName val="Programme_-_Finance13"/>
      <sheetName val="Programme_proposé13"/>
      <sheetName val="Tableau_Gosse13"/>
      <sheetName val="Promotion_selon_Kaydan13"/>
      <sheetName val="RECAP_(2)13"/>
      <sheetName val="sources_(2)13"/>
      <sheetName val="sources_(3)13"/>
      <sheetName val="sources_(4)13"/>
      <sheetName val="sources_(5)13"/>
      <sheetName val="sources_(6)13"/>
      <sheetName val="Modéle_Economqiue14"/>
      <sheetName val="Recap_surface14"/>
      <sheetName val="Bilan_Promoteurs_cumul14"/>
      <sheetName val="BILAN_DES_ACTEURS14"/>
      <sheetName val="Bilan_Promoteur_114"/>
      <sheetName val="Promoteur_114"/>
      <sheetName val="Bilan_Promoteur_214"/>
      <sheetName val="Promoteur_214"/>
      <sheetName val="DQE_3P_Jumelé14"/>
      <sheetName val="DQE_D4P_Jumelé14"/>
      <sheetName val="DQE_D4P_individuel14"/>
      <sheetName val="DQE_D5P14"/>
      <sheetName val="Programme_-_Finance_(2)14"/>
      <sheetName val="TABLEAU_CHARGES14"/>
      <sheetName val="charges_habitat14"/>
      <sheetName val="Promotion_immobiliere_initial14"/>
      <sheetName val="Promotion_immobiliere_114"/>
      <sheetName val="Promotion_immobiliere_214"/>
      <sheetName val="Programme_Immobilier14"/>
      <sheetName val="AN1_Promoteur_114"/>
      <sheetName val="AN1_Promoteur_214"/>
      <sheetName val="AN2_Promoteur_114"/>
      <sheetName val="AN2_Promoteur_214"/>
      <sheetName val="Programme_-_Finance14"/>
      <sheetName val="Programme_proposé14"/>
      <sheetName val="Tableau_Gosse14"/>
      <sheetName val="Promotion_selon_Kaydan14"/>
      <sheetName val="RECAP_(2)14"/>
      <sheetName val="sources_(2)14"/>
      <sheetName val="sources_(3)14"/>
      <sheetName val="sources_(4)14"/>
      <sheetName val="sources_(5)14"/>
      <sheetName val="sources_(6)14"/>
      <sheetName val="Modéle_Economqiue15"/>
      <sheetName val="Recap_surface15"/>
      <sheetName val="Bilan_Promoteurs_cumul15"/>
      <sheetName val="BILAN_DES_ACTEURS15"/>
      <sheetName val="Bilan_Promoteur_115"/>
      <sheetName val="Promoteur_115"/>
      <sheetName val="Bilan_Promoteur_215"/>
      <sheetName val="Promoteur_215"/>
      <sheetName val="DQE_3P_Jumelé15"/>
      <sheetName val="DQE_D4P_Jumelé15"/>
      <sheetName val="DQE_D4P_individuel15"/>
      <sheetName val="DQE_D5P15"/>
      <sheetName val="Programme_-_Finance_(2)15"/>
      <sheetName val="TABLEAU_CHARGES15"/>
      <sheetName val="charges_habitat15"/>
      <sheetName val="Promotion_immobiliere_initial15"/>
      <sheetName val="Promotion_immobiliere_115"/>
      <sheetName val="Promotion_immobiliere_215"/>
      <sheetName val="Programme_Immobilier15"/>
      <sheetName val="AN1_Promoteur_115"/>
      <sheetName val="AN1_Promoteur_215"/>
      <sheetName val="AN2_Promoteur_115"/>
      <sheetName val="AN2_Promoteur_215"/>
      <sheetName val="Programme_-_Finance15"/>
      <sheetName val="Programme_proposé15"/>
      <sheetName val="Tableau_Gosse15"/>
      <sheetName val="Promotion_selon_Kaydan15"/>
      <sheetName val="RECAP_(2)15"/>
      <sheetName val="sources_(2)15"/>
      <sheetName val="sources_(3)15"/>
      <sheetName val="sources_(4)15"/>
      <sheetName val="sources_(5)15"/>
      <sheetName val="sources_(6)15"/>
      <sheetName val="Modéle_Economqiue16"/>
      <sheetName val="Recap_surface16"/>
      <sheetName val="Bilan_Promoteurs_cumul16"/>
      <sheetName val="BILAN_DES_ACTEURS16"/>
      <sheetName val="Bilan_Promoteur_116"/>
      <sheetName val="Promoteur_116"/>
      <sheetName val="Bilan_Promoteur_216"/>
      <sheetName val="Promoteur_216"/>
      <sheetName val="DQE_3P_Jumelé16"/>
      <sheetName val="DQE_D4P_Jumelé16"/>
      <sheetName val="DQE_D4P_individuel16"/>
      <sheetName val="DQE_D5P16"/>
      <sheetName val="Programme_-_Finance_(2)16"/>
      <sheetName val="TABLEAU_CHARGES16"/>
      <sheetName val="charges_habitat16"/>
      <sheetName val="Promotion_immobiliere_initial16"/>
      <sheetName val="Promotion_immobiliere_116"/>
      <sheetName val="Promotion_immobiliere_216"/>
      <sheetName val="Programme_Immobilier16"/>
      <sheetName val="AN1_Promoteur_116"/>
      <sheetName val="AN1_Promoteur_216"/>
      <sheetName val="AN2_Promoteur_116"/>
      <sheetName val="AN2_Promoteur_216"/>
      <sheetName val="Programme_-_Finance16"/>
      <sheetName val="Programme_proposé16"/>
      <sheetName val="Tableau_Gosse16"/>
      <sheetName val="Promotion_selon_Kaydan16"/>
      <sheetName val="RECAP_(2)16"/>
      <sheetName val="sources_(2)16"/>
      <sheetName val="sources_(3)16"/>
      <sheetName val="sources_(4)16"/>
      <sheetName val="sources_(5)16"/>
      <sheetName val="sources_(6)16"/>
      <sheetName val="Modéle_Economqiue17"/>
      <sheetName val="Recap_surface17"/>
      <sheetName val="Bilan_Promoteurs_cumul17"/>
      <sheetName val="BILAN_DES_ACTEURS17"/>
      <sheetName val="Bilan_Promoteur_117"/>
      <sheetName val="Promoteur_117"/>
      <sheetName val="Bilan_Promoteur_217"/>
      <sheetName val="Promoteur_217"/>
      <sheetName val="DQE_3P_Jumelé17"/>
      <sheetName val="DQE_D4P_Jumelé17"/>
      <sheetName val="DQE_D4P_individuel17"/>
      <sheetName val="DQE_D5P17"/>
      <sheetName val="Programme_-_Finance_(2)17"/>
      <sheetName val="TABLEAU_CHARGES17"/>
      <sheetName val="charges_habitat17"/>
      <sheetName val="Promotion_immobiliere_initial17"/>
      <sheetName val="Promotion_immobiliere_117"/>
      <sheetName val="Promotion_immobiliere_217"/>
      <sheetName val="Programme_Immobilier17"/>
      <sheetName val="AN1_Promoteur_117"/>
      <sheetName val="AN1_Promoteur_217"/>
      <sheetName val="AN2_Promoteur_117"/>
      <sheetName val="AN2_Promoteur_217"/>
      <sheetName val="Programme_-_Finance17"/>
      <sheetName val="Programme_proposé17"/>
      <sheetName val="Tableau_Gosse17"/>
      <sheetName val="Promotion_selon_Kaydan17"/>
      <sheetName val="RECAP_(2)17"/>
      <sheetName val="sources_(2)17"/>
      <sheetName val="sources_(3)17"/>
      <sheetName val="sources_(4)17"/>
      <sheetName val="sources_(5)17"/>
      <sheetName val="sources_(6)17"/>
      <sheetName val="Modéle_Economqiue36"/>
      <sheetName val="Recap_surface36"/>
      <sheetName val="Bilan_Promoteurs_cumul36"/>
      <sheetName val="BILAN_DES_ACTEURS36"/>
      <sheetName val="Bilan_Promoteur_136"/>
      <sheetName val="Promoteur_136"/>
      <sheetName val="Bilan_Promoteur_236"/>
      <sheetName val="Promoteur_236"/>
      <sheetName val="DQE_3P_Jumelé36"/>
      <sheetName val="DQE_D4P_Jumelé36"/>
      <sheetName val="DQE_D4P_individuel36"/>
      <sheetName val="DQE_D5P36"/>
      <sheetName val="Programme_-_Finance_(2)36"/>
      <sheetName val="TABLEAU_CHARGES36"/>
      <sheetName val="charges_habitat36"/>
      <sheetName val="Promotion_immobiliere_initial36"/>
      <sheetName val="Promotion_immobiliere_136"/>
      <sheetName val="Promotion_immobiliere_236"/>
      <sheetName val="Programme_Immobilier36"/>
      <sheetName val="AN1_Promoteur_136"/>
      <sheetName val="AN1_Promoteur_236"/>
      <sheetName val="AN2_Promoteur_136"/>
      <sheetName val="AN2_Promoteur_236"/>
      <sheetName val="Programme_-_Finance36"/>
      <sheetName val="Programme_proposé36"/>
      <sheetName val="Tableau_Gosse36"/>
      <sheetName val="Promotion_selon_Kaydan36"/>
      <sheetName val="RECAP_(2)36"/>
      <sheetName val="sources_(2)36"/>
      <sheetName val="sources_(3)36"/>
      <sheetName val="sources_(4)36"/>
      <sheetName val="sources_(5)36"/>
      <sheetName val="sources_(6)36"/>
      <sheetName val="Modéle_Economqiue18"/>
      <sheetName val="Recap_surface18"/>
      <sheetName val="Bilan_Promoteurs_cumul18"/>
      <sheetName val="BILAN_DES_ACTEURS18"/>
      <sheetName val="Bilan_Promoteur_118"/>
      <sheetName val="Promoteur_118"/>
      <sheetName val="Bilan_Promoteur_218"/>
      <sheetName val="Promoteur_218"/>
      <sheetName val="DQE_3P_Jumelé18"/>
      <sheetName val="DQE_D4P_Jumelé18"/>
      <sheetName val="DQE_D4P_individuel18"/>
      <sheetName val="DQE_D5P18"/>
      <sheetName val="Programme_-_Finance_(2)18"/>
      <sheetName val="TABLEAU_CHARGES18"/>
      <sheetName val="charges_habitat18"/>
      <sheetName val="Promotion_immobiliere_initial18"/>
      <sheetName val="Promotion_immobiliere_118"/>
      <sheetName val="Promotion_immobiliere_218"/>
      <sheetName val="Programme_Immobilier18"/>
      <sheetName val="AN1_Promoteur_118"/>
      <sheetName val="AN1_Promoteur_218"/>
      <sheetName val="AN2_Promoteur_118"/>
      <sheetName val="AN2_Promoteur_218"/>
      <sheetName val="Programme_-_Finance18"/>
      <sheetName val="Programme_proposé18"/>
      <sheetName val="Tableau_Gosse18"/>
      <sheetName val="Promotion_selon_Kaydan18"/>
      <sheetName val="RECAP_(2)18"/>
      <sheetName val="sources_(2)18"/>
      <sheetName val="sources_(3)18"/>
      <sheetName val="sources_(4)18"/>
      <sheetName val="sources_(5)18"/>
      <sheetName val="sources_(6)18"/>
      <sheetName val="Modéle_Economqiue19"/>
      <sheetName val="Recap_surface19"/>
      <sheetName val="Bilan_Promoteurs_cumul19"/>
      <sheetName val="BILAN_DES_ACTEURS19"/>
      <sheetName val="Bilan_Promoteur_119"/>
      <sheetName val="Promoteur_119"/>
      <sheetName val="Bilan_Promoteur_219"/>
      <sheetName val="Promoteur_219"/>
      <sheetName val="DQE_3P_Jumelé19"/>
      <sheetName val="DQE_D4P_Jumelé19"/>
      <sheetName val="DQE_D4P_individuel19"/>
      <sheetName val="DQE_D5P19"/>
      <sheetName val="Programme_-_Finance_(2)19"/>
      <sheetName val="TABLEAU_CHARGES19"/>
      <sheetName val="charges_habitat19"/>
      <sheetName val="Promotion_immobiliere_initial19"/>
      <sheetName val="Promotion_immobiliere_119"/>
      <sheetName val="Promotion_immobiliere_219"/>
      <sheetName val="Programme_Immobilier19"/>
      <sheetName val="AN1_Promoteur_119"/>
      <sheetName val="AN1_Promoteur_219"/>
      <sheetName val="AN2_Promoteur_119"/>
      <sheetName val="AN2_Promoteur_219"/>
      <sheetName val="Programme_-_Finance19"/>
      <sheetName val="Programme_proposé19"/>
      <sheetName val="Tableau_Gosse19"/>
      <sheetName val="Promotion_selon_Kaydan19"/>
      <sheetName val="RECAP_(2)19"/>
      <sheetName val="sources_(2)19"/>
      <sheetName val="sources_(3)19"/>
      <sheetName val="sources_(4)19"/>
      <sheetName val="sources_(5)19"/>
      <sheetName val="sources_(6)19"/>
      <sheetName val="Modéle_Economqiue20"/>
      <sheetName val="Recap_surface20"/>
      <sheetName val="Bilan_Promoteurs_cumul20"/>
      <sheetName val="BILAN_DES_ACTEURS20"/>
      <sheetName val="Bilan_Promoteur_120"/>
      <sheetName val="Promoteur_120"/>
      <sheetName val="Bilan_Promoteur_220"/>
      <sheetName val="Promoteur_220"/>
      <sheetName val="DQE_3P_Jumelé20"/>
      <sheetName val="DQE_D4P_Jumelé20"/>
      <sheetName val="DQE_D4P_individuel20"/>
      <sheetName val="DQE_D5P20"/>
      <sheetName val="Programme_-_Finance_(2)20"/>
      <sheetName val="TABLEAU_CHARGES20"/>
      <sheetName val="charges_habitat20"/>
      <sheetName val="Promotion_immobiliere_initial20"/>
      <sheetName val="Promotion_immobiliere_120"/>
      <sheetName val="Promotion_immobiliere_220"/>
      <sheetName val="Programme_Immobilier20"/>
      <sheetName val="AN1_Promoteur_120"/>
      <sheetName val="AN1_Promoteur_220"/>
      <sheetName val="AN2_Promoteur_120"/>
      <sheetName val="AN2_Promoteur_220"/>
      <sheetName val="Programme_-_Finance20"/>
      <sheetName val="Programme_proposé20"/>
      <sheetName val="Tableau_Gosse20"/>
      <sheetName val="Promotion_selon_Kaydan20"/>
      <sheetName val="RECAP_(2)20"/>
      <sheetName val="sources_(2)20"/>
      <sheetName val="sources_(3)20"/>
      <sheetName val="sources_(4)20"/>
      <sheetName val="sources_(5)20"/>
      <sheetName val="sources_(6)20"/>
      <sheetName val="Modéle_Economqiue21"/>
      <sheetName val="Recap_surface21"/>
      <sheetName val="Bilan_Promoteurs_cumul21"/>
      <sheetName val="BILAN_DES_ACTEURS21"/>
      <sheetName val="Bilan_Promoteur_121"/>
      <sheetName val="Promoteur_121"/>
      <sheetName val="Bilan_Promoteur_221"/>
      <sheetName val="Promoteur_221"/>
      <sheetName val="DQE_3P_Jumelé21"/>
      <sheetName val="DQE_D4P_Jumelé21"/>
      <sheetName val="DQE_D4P_individuel21"/>
      <sheetName val="DQE_D5P21"/>
      <sheetName val="Programme_-_Finance_(2)21"/>
      <sheetName val="TABLEAU_CHARGES21"/>
      <sheetName val="charges_habitat21"/>
      <sheetName val="Promotion_immobiliere_initial21"/>
      <sheetName val="Promotion_immobiliere_121"/>
      <sheetName val="Promotion_immobiliere_221"/>
      <sheetName val="Programme_Immobilier21"/>
      <sheetName val="AN1_Promoteur_121"/>
      <sheetName val="AN1_Promoteur_221"/>
      <sheetName val="AN2_Promoteur_121"/>
      <sheetName val="AN2_Promoteur_221"/>
      <sheetName val="Programme_-_Finance21"/>
      <sheetName val="Programme_proposé21"/>
      <sheetName val="Tableau_Gosse21"/>
      <sheetName val="Promotion_selon_Kaydan21"/>
      <sheetName val="RECAP_(2)21"/>
      <sheetName val="sources_(2)21"/>
      <sheetName val="sources_(3)21"/>
      <sheetName val="sources_(4)21"/>
      <sheetName val="sources_(5)21"/>
      <sheetName val="sources_(6)21"/>
      <sheetName val="Modéle_Economqiue25"/>
      <sheetName val="Recap_surface25"/>
      <sheetName val="Bilan_Promoteurs_cumul25"/>
      <sheetName val="BILAN_DES_ACTEURS25"/>
      <sheetName val="Bilan_Promoteur_125"/>
      <sheetName val="Promoteur_125"/>
      <sheetName val="Bilan_Promoteur_225"/>
      <sheetName val="Promoteur_225"/>
      <sheetName val="DQE_3P_Jumelé25"/>
      <sheetName val="DQE_D4P_Jumelé25"/>
      <sheetName val="DQE_D4P_individuel25"/>
      <sheetName val="DQE_D5P25"/>
      <sheetName val="Programme_-_Finance_(2)25"/>
      <sheetName val="TABLEAU_CHARGES25"/>
      <sheetName val="charges_habitat25"/>
      <sheetName val="Promotion_immobiliere_initial25"/>
      <sheetName val="Promotion_immobiliere_125"/>
      <sheetName val="Promotion_immobiliere_225"/>
      <sheetName val="Programme_Immobilier25"/>
      <sheetName val="AN1_Promoteur_125"/>
      <sheetName val="AN1_Promoteur_225"/>
      <sheetName val="AN2_Promoteur_125"/>
      <sheetName val="AN2_Promoteur_225"/>
      <sheetName val="Programme_-_Finance25"/>
      <sheetName val="Programme_proposé25"/>
      <sheetName val="Tableau_Gosse25"/>
      <sheetName val="Promotion_selon_Kaydan25"/>
      <sheetName val="RECAP_(2)25"/>
      <sheetName val="sources_(2)25"/>
      <sheetName val="sources_(3)25"/>
      <sheetName val="sources_(4)25"/>
      <sheetName val="sources_(5)25"/>
      <sheetName val="sources_(6)25"/>
      <sheetName val="Modéle_Economqiue22"/>
      <sheetName val="Recap_surface22"/>
      <sheetName val="Bilan_Promoteurs_cumul22"/>
      <sheetName val="BILAN_DES_ACTEURS22"/>
      <sheetName val="Bilan_Promoteur_122"/>
      <sheetName val="Promoteur_122"/>
      <sheetName val="Bilan_Promoteur_222"/>
      <sheetName val="Promoteur_222"/>
      <sheetName val="DQE_3P_Jumelé22"/>
      <sheetName val="DQE_D4P_Jumelé22"/>
      <sheetName val="DQE_D4P_individuel22"/>
      <sheetName val="DQE_D5P22"/>
      <sheetName val="Programme_-_Finance_(2)22"/>
      <sheetName val="TABLEAU_CHARGES22"/>
      <sheetName val="charges_habitat22"/>
      <sheetName val="Promotion_immobiliere_initial22"/>
      <sheetName val="Promotion_immobiliere_122"/>
      <sheetName val="Promotion_immobiliere_222"/>
      <sheetName val="Programme_Immobilier22"/>
      <sheetName val="AN1_Promoteur_122"/>
      <sheetName val="AN1_Promoteur_222"/>
      <sheetName val="AN2_Promoteur_122"/>
      <sheetName val="AN2_Promoteur_222"/>
      <sheetName val="Programme_-_Finance22"/>
      <sheetName val="Programme_proposé22"/>
      <sheetName val="Tableau_Gosse22"/>
      <sheetName val="Promotion_selon_Kaydan22"/>
      <sheetName val="RECAP_(2)22"/>
      <sheetName val="sources_(2)22"/>
      <sheetName val="sources_(3)22"/>
      <sheetName val="sources_(4)22"/>
      <sheetName val="sources_(5)22"/>
      <sheetName val="sources_(6)22"/>
      <sheetName val="Modéle_Economqiue24"/>
      <sheetName val="Recap_surface24"/>
      <sheetName val="Bilan_Promoteurs_cumul24"/>
      <sheetName val="BILAN_DES_ACTEURS24"/>
      <sheetName val="Bilan_Promoteur_124"/>
      <sheetName val="Promoteur_124"/>
      <sheetName val="Bilan_Promoteur_224"/>
      <sheetName val="Promoteur_224"/>
      <sheetName val="DQE_3P_Jumelé24"/>
      <sheetName val="DQE_D4P_Jumelé24"/>
      <sheetName val="DQE_D4P_individuel24"/>
      <sheetName val="DQE_D5P24"/>
      <sheetName val="Programme_-_Finance_(2)24"/>
      <sheetName val="TABLEAU_CHARGES24"/>
      <sheetName val="charges_habitat24"/>
      <sheetName val="Promotion_immobiliere_initial24"/>
      <sheetName val="Promotion_immobiliere_124"/>
      <sheetName val="Promotion_immobiliere_224"/>
      <sheetName val="Programme_Immobilier24"/>
      <sheetName val="AN1_Promoteur_124"/>
      <sheetName val="AN1_Promoteur_224"/>
      <sheetName val="AN2_Promoteur_124"/>
      <sheetName val="AN2_Promoteur_224"/>
      <sheetName val="Programme_-_Finance24"/>
      <sheetName val="Programme_proposé24"/>
      <sheetName val="Tableau_Gosse24"/>
      <sheetName val="Promotion_selon_Kaydan24"/>
      <sheetName val="RECAP_(2)24"/>
      <sheetName val="sources_(2)24"/>
      <sheetName val="sources_(3)24"/>
      <sheetName val="sources_(4)24"/>
      <sheetName val="sources_(5)24"/>
      <sheetName val="sources_(6)24"/>
      <sheetName val="Modéle_Economqiue23"/>
      <sheetName val="Recap_surface23"/>
      <sheetName val="Bilan_Promoteurs_cumul23"/>
      <sheetName val="BILAN_DES_ACTEURS23"/>
      <sheetName val="Bilan_Promoteur_123"/>
      <sheetName val="Promoteur_123"/>
      <sheetName val="Bilan_Promoteur_223"/>
      <sheetName val="Promoteur_223"/>
      <sheetName val="DQE_3P_Jumelé23"/>
      <sheetName val="DQE_D4P_Jumelé23"/>
      <sheetName val="DQE_D4P_individuel23"/>
      <sheetName val="DQE_D5P23"/>
      <sheetName val="Programme_-_Finance_(2)23"/>
      <sheetName val="TABLEAU_CHARGES23"/>
      <sheetName val="charges_habitat23"/>
      <sheetName val="Promotion_immobiliere_initial23"/>
      <sheetName val="Promotion_immobiliere_123"/>
      <sheetName val="Promotion_immobiliere_223"/>
      <sheetName val="Programme_Immobilier23"/>
      <sheetName val="AN1_Promoteur_123"/>
      <sheetName val="AN1_Promoteur_223"/>
      <sheetName val="AN2_Promoteur_123"/>
      <sheetName val="AN2_Promoteur_223"/>
      <sheetName val="Programme_-_Finance23"/>
      <sheetName val="Programme_proposé23"/>
      <sheetName val="Tableau_Gosse23"/>
      <sheetName val="Promotion_selon_Kaydan23"/>
      <sheetName val="RECAP_(2)23"/>
      <sheetName val="sources_(2)23"/>
      <sheetName val="sources_(3)23"/>
      <sheetName val="sources_(4)23"/>
      <sheetName val="sources_(5)23"/>
      <sheetName val="sources_(6)23"/>
      <sheetName val="Modéle_Economqiue26"/>
      <sheetName val="Recap_surface26"/>
      <sheetName val="Bilan_Promoteurs_cumul26"/>
      <sheetName val="BILAN_DES_ACTEURS26"/>
      <sheetName val="Bilan_Promoteur_126"/>
      <sheetName val="Promoteur_126"/>
      <sheetName val="Bilan_Promoteur_226"/>
      <sheetName val="Promoteur_226"/>
      <sheetName val="DQE_3P_Jumelé26"/>
      <sheetName val="DQE_D4P_Jumelé26"/>
      <sheetName val="DQE_D4P_individuel26"/>
      <sheetName val="DQE_D5P26"/>
      <sheetName val="Programme_-_Finance_(2)26"/>
      <sheetName val="TABLEAU_CHARGES26"/>
      <sheetName val="charges_habitat26"/>
      <sheetName val="Promotion_immobiliere_initial26"/>
      <sheetName val="Promotion_immobiliere_126"/>
      <sheetName val="Promotion_immobiliere_226"/>
      <sheetName val="Programme_Immobilier26"/>
      <sheetName val="AN1_Promoteur_126"/>
      <sheetName val="AN1_Promoteur_226"/>
      <sheetName val="AN2_Promoteur_126"/>
      <sheetName val="AN2_Promoteur_226"/>
      <sheetName val="Programme_-_Finance26"/>
      <sheetName val="Programme_proposé26"/>
      <sheetName val="Tableau_Gosse26"/>
      <sheetName val="Promotion_selon_Kaydan26"/>
      <sheetName val="RECAP_(2)26"/>
      <sheetName val="sources_(2)26"/>
      <sheetName val="sources_(3)26"/>
      <sheetName val="sources_(4)26"/>
      <sheetName val="sources_(5)26"/>
      <sheetName val="sources_(6)26"/>
      <sheetName val="Modéle_Economqiue27"/>
      <sheetName val="Recap_surface27"/>
      <sheetName val="Bilan_Promoteurs_cumul27"/>
      <sheetName val="BILAN_DES_ACTEURS27"/>
      <sheetName val="Bilan_Promoteur_127"/>
      <sheetName val="Promoteur_127"/>
      <sheetName val="Bilan_Promoteur_227"/>
      <sheetName val="Promoteur_227"/>
      <sheetName val="DQE_3P_Jumelé27"/>
      <sheetName val="DQE_D4P_Jumelé27"/>
      <sheetName val="DQE_D4P_individuel27"/>
      <sheetName val="DQE_D5P27"/>
      <sheetName val="Programme_-_Finance_(2)27"/>
      <sheetName val="TABLEAU_CHARGES27"/>
      <sheetName val="charges_habitat27"/>
      <sheetName val="Promotion_immobiliere_initial27"/>
      <sheetName val="Promotion_immobiliere_127"/>
      <sheetName val="Promotion_immobiliere_227"/>
      <sheetName val="Programme_Immobilier27"/>
      <sheetName val="AN1_Promoteur_127"/>
      <sheetName val="AN1_Promoteur_227"/>
      <sheetName val="AN2_Promoteur_127"/>
      <sheetName val="AN2_Promoteur_227"/>
      <sheetName val="Programme_-_Finance27"/>
      <sheetName val="Programme_proposé27"/>
      <sheetName val="Tableau_Gosse27"/>
      <sheetName val="Promotion_selon_Kaydan27"/>
      <sheetName val="RECAP_(2)27"/>
      <sheetName val="sources_(2)27"/>
      <sheetName val="sources_(3)27"/>
      <sheetName val="sources_(4)27"/>
      <sheetName val="sources_(5)27"/>
      <sheetName val="sources_(6)27"/>
      <sheetName val="Modéle_Economqiue28"/>
      <sheetName val="Recap_surface28"/>
      <sheetName val="Bilan_Promoteurs_cumul28"/>
      <sheetName val="BILAN_DES_ACTEURS28"/>
      <sheetName val="Bilan_Promoteur_128"/>
      <sheetName val="Promoteur_128"/>
      <sheetName val="Bilan_Promoteur_228"/>
      <sheetName val="Promoteur_228"/>
      <sheetName val="DQE_3P_Jumelé28"/>
      <sheetName val="DQE_D4P_Jumelé28"/>
      <sheetName val="DQE_D4P_individuel28"/>
      <sheetName val="DQE_D5P28"/>
      <sheetName val="Programme_-_Finance_(2)28"/>
      <sheetName val="TABLEAU_CHARGES28"/>
      <sheetName val="charges_habitat28"/>
      <sheetName val="Promotion_immobiliere_initial28"/>
      <sheetName val="Promotion_immobiliere_128"/>
      <sheetName val="Promotion_immobiliere_228"/>
      <sheetName val="Programme_Immobilier28"/>
      <sheetName val="AN1_Promoteur_128"/>
      <sheetName val="AN1_Promoteur_228"/>
      <sheetName val="AN2_Promoteur_128"/>
      <sheetName val="AN2_Promoteur_228"/>
      <sheetName val="Programme_-_Finance28"/>
      <sheetName val="Programme_proposé28"/>
      <sheetName val="Tableau_Gosse28"/>
      <sheetName val="Promotion_selon_Kaydan28"/>
      <sheetName val="RECAP_(2)28"/>
      <sheetName val="sources_(2)28"/>
      <sheetName val="sources_(3)28"/>
      <sheetName val="sources_(4)28"/>
      <sheetName val="sources_(5)28"/>
      <sheetName val="sources_(6)28"/>
      <sheetName val="Modéle_Economqiue29"/>
      <sheetName val="Recap_surface29"/>
      <sheetName val="Bilan_Promoteurs_cumul29"/>
      <sheetName val="BILAN_DES_ACTEURS29"/>
      <sheetName val="Bilan_Promoteur_129"/>
      <sheetName val="Promoteur_129"/>
      <sheetName val="Bilan_Promoteur_229"/>
      <sheetName val="Promoteur_229"/>
      <sheetName val="DQE_3P_Jumelé29"/>
      <sheetName val="DQE_D4P_Jumelé29"/>
      <sheetName val="DQE_D4P_individuel29"/>
      <sheetName val="DQE_D5P29"/>
      <sheetName val="Programme_-_Finance_(2)29"/>
      <sheetName val="TABLEAU_CHARGES29"/>
      <sheetName val="charges_habitat29"/>
      <sheetName val="Promotion_immobiliere_initial29"/>
      <sheetName val="Promotion_immobiliere_129"/>
      <sheetName val="Promotion_immobiliere_229"/>
      <sheetName val="Programme_Immobilier29"/>
      <sheetName val="AN1_Promoteur_129"/>
      <sheetName val="AN1_Promoteur_229"/>
      <sheetName val="AN2_Promoteur_129"/>
      <sheetName val="AN2_Promoteur_229"/>
      <sheetName val="Programme_-_Finance29"/>
      <sheetName val="Programme_proposé29"/>
      <sheetName val="Tableau_Gosse29"/>
      <sheetName val="Promotion_selon_Kaydan29"/>
      <sheetName val="RECAP_(2)29"/>
      <sheetName val="sources_(2)29"/>
      <sheetName val="sources_(3)29"/>
      <sheetName val="sources_(4)29"/>
      <sheetName val="sources_(5)29"/>
      <sheetName val="sources_(6)29"/>
      <sheetName val="Modéle_Economqiue30"/>
      <sheetName val="Recap_surface30"/>
      <sheetName val="Bilan_Promoteurs_cumul30"/>
      <sheetName val="BILAN_DES_ACTEURS30"/>
      <sheetName val="Bilan_Promoteur_130"/>
      <sheetName val="Promoteur_130"/>
      <sheetName val="Bilan_Promoteur_230"/>
      <sheetName val="Promoteur_230"/>
      <sheetName val="DQE_3P_Jumelé30"/>
      <sheetName val="DQE_D4P_Jumelé30"/>
      <sheetName val="DQE_D4P_individuel30"/>
      <sheetName val="DQE_D5P30"/>
      <sheetName val="Programme_-_Finance_(2)30"/>
      <sheetName val="TABLEAU_CHARGES30"/>
      <sheetName val="charges_habitat30"/>
      <sheetName val="Promotion_immobiliere_initial30"/>
      <sheetName val="Promotion_immobiliere_130"/>
      <sheetName val="Promotion_immobiliere_230"/>
      <sheetName val="Programme_Immobilier30"/>
      <sheetName val="AN1_Promoteur_130"/>
      <sheetName val="AN1_Promoteur_230"/>
      <sheetName val="AN2_Promoteur_130"/>
      <sheetName val="AN2_Promoteur_230"/>
      <sheetName val="Programme_-_Finance30"/>
      <sheetName val="Programme_proposé30"/>
      <sheetName val="Tableau_Gosse30"/>
      <sheetName val="Promotion_selon_Kaydan30"/>
      <sheetName val="RECAP_(2)30"/>
      <sheetName val="sources_(2)30"/>
      <sheetName val="sources_(3)30"/>
      <sheetName val="sources_(4)30"/>
      <sheetName val="sources_(5)30"/>
      <sheetName val="sources_(6)30"/>
      <sheetName val="Modéle_Economqiue32"/>
      <sheetName val="Recap_surface32"/>
      <sheetName val="Bilan_Promoteurs_cumul32"/>
      <sheetName val="BILAN_DES_ACTEURS32"/>
      <sheetName val="Bilan_Promoteur_132"/>
      <sheetName val="Promoteur_132"/>
      <sheetName val="Bilan_Promoteur_232"/>
      <sheetName val="Promoteur_232"/>
      <sheetName val="DQE_3P_Jumelé32"/>
      <sheetName val="DQE_D4P_Jumelé32"/>
      <sheetName val="DQE_D4P_individuel32"/>
      <sheetName val="DQE_D5P32"/>
      <sheetName val="Programme_-_Finance_(2)32"/>
      <sheetName val="TABLEAU_CHARGES32"/>
      <sheetName val="charges_habitat32"/>
      <sheetName val="Promotion_immobiliere_initial32"/>
      <sheetName val="Promotion_immobiliere_132"/>
      <sheetName val="Promotion_immobiliere_232"/>
      <sheetName val="Programme_Immobilier32"/>
      <sheetName val="AN1_Promoteur_132"/>
      <sheetName val="AN1_Promoteur_232"/>
      <sheetName val="AN2_Promoteur_132"/>
      <sheetName val="AN2_Promoteur_232"/>
      <sheetName val="Programme_-_Finance32"/>
      <sheetName val="Programme_proposé32"/>
      <sheetName val="Tableau_Gosse32"/>
      <sheetName val="Promotion_selon_Kaydan32"/>
      <sheetName val="RECAP_(2)32"/>
      <sheetName val="sources_(2)32"/>
      <sheetName val="sources_(3)32"/>
      <sheetName val="sources_(4)32"/>
      <sheetName val="sources_(5)32"/>
      <sheetName val="sources_(6)32"/>
      <sheetName val="Modéle_Economqiue31"/>
      <sheetName val="Recap_surface31"/>
      <sheetName val="Bilan_Promoteurs_cumul31"/>
      <sheetName val="BILAN_DES_ACTEURS31"/>
      <sheetName val="Bilan_Promoteur_131"/>
      <sheetName val="Promoteur_131"/>
      <sheetName val="Bilan_Promoteur_231"/>
      <sheetName val="Promoteur_231"/>
      <sheetName val="DQE_3P_Jumelé31"/>
      <sheetName val="DQE_D4P_Jumelé31"/>
      <sheetName val="DQE_D4P_individuel31"/>
      <sheetName val="DQE_D5P31"/>
      <sheetName val="Programme_-_Finance_(2)31"/>
      <sheetName val="TABLEAU_CHARGES31"/>
      <sheetName val="charges_habitat31"/>
      <sheetName val="Promotion_immobiliere_initial31"/>
      <sheetName val="Promotion_immobiliere_131"/>
      <sheetName val="Promotion_immobiliere_231"/>
      <sheetName val="Programme_Immobilier31"/>
      <sheetName val="AN1_Promoteur_131"/>
      <sheetName val="AN1_Promoteur_231"/>
      <sheetName val="AN2_Promoteur_131"/>
      <sheetName val="AN2_Promoteur_231"/>
      <sheetName val="Programme_-_Finance31"/>
      <sheetName val="Programme_proposé31"/>
      <sheetName val="Tableau_Gosse31"/>
      <sheetName val="Promotion_selon_Kaydan31"/>
      <sheetName val="RECAP_(2)31"/>
      <sheetName val="sources_(2)31"/>
      <sheetName val="sources_(3)31"/>
      <sheetName val="sources_(4)31"/>
      <sheetName val="sources_(5)31"/>
      <sheetName val="sources_(6)31"/>
      <sheetName val="Modéle_Economqiue33"/>
      <sheetName val="Recap_surface33"/>
      <sheetName val="Bilan_Promoteurs_cumul33"/>
      <sheetName val="BILAN_DES_ACTEURS33"/>
      <sheetName val="Bilan_Promoteur_133"/>
      <sheetName val="Promoteur_133"/>
      <sheetName val="Bilan_Promoteur_233"/>
      <sheetName val="Promoteur_233"/>
      <sheetName val="DQE_3P_Jumelé33"/>
      <sheetName val="DQE_D4P_Jumelé33"/>
      <sheetName val="DQE_D4P_individuel33"/>
      <sheetName val="DQE_D5P33"/>
      <sheetName val="Programme_-_Finance_(2)33"/>
      <sheetName val="TABLEAU_CHARGES33"/>
      <sheetName val="charges_habitat33"/>
      <sheetName val="Promotion_immobiliere_initial33"/>
      <sheetName val="Promotion_immobiliere_133"/>
      <sheetName val="Promotion_immobiliere_233"/>
      <sheetName val="Programme_Immobilier33"/>
      <sheetName val="AN1_Promoteur_133"/>
      <sheetName val="AN1_Promoteur_233"/>
      <sheetName val="AN2_Promoteur_133"/>
      <sheetName val="AN2_Promoteur_233"/>
      <sheetName val="Programme_-_Finance33"/>
      <sheetName val="Programme_proposé33"/>
      <sheetName val="Tableau_Gosse33"/>
      <sheetName val="Promotion_selon_Kaydan33"/>
      <sheetName val="RECAP_(2)33"/>
      <sheetName val="sources_(2)33"/>
      <sheetName val="sources_(3)33"/>
      <sheetName val="sources_(4)33"/>
      <sheetName val="sources_(5)33"/>
      <sheetName val="sources_(6)33"/>
      <sheetName val="Modéle_Economqiue35"/>
      <sheetName val="Recap_surface35"/>
      <sheetName val="Bilan_Promoteurs_cumul35"/>
      <sheetName val="BILAN_DES_ACTEURS35"/>
      <sheetName val="Bilan_Promoteur_135"/>
      <sheetName val="Promoteur_135"/>
      <sheetName val="Bilan_Promoteur_235"/>
      <sheetName val="Promoteur_235"/>
      <sheetName val="DQE_3P_Jumelé35"/>
      <sheetName val="DQE_D4P_Jumelé35"/>
      <sheetName val="DQE_D4P_individuel35"/>
      <sheetName val="DQE_D5P35"/>
      <sheetName val="Programme_-_Finance_(2)35"/>
      <sheetName val="TABLEAU_CHARGES35"/>
      <sheetName val="charges_habitat35"/>
      <sheetName val="Promotion_immobiliere_initial35"/>
      <sheetName val="Promotion_immobiliere_135"/>
      <sheetName val="Promotion_immobiliere_235"/>
      <sheetName val="Programme_Immobilier35"/>
      <sheetName val="AN1_Promoteur_135"/>
      <sheetName val="AN1_Promoteur_235"/>
      <sheetName val="AN2_Promoteur_135"/>
      <sheetName val="AN2_Promoteur_235"/>
      <sheetName val="Programme_-_Finance35"/>
      <sheetName val="Programme_proposé35"/>
      <sheetName val="Tableau_Gosse35"/>
      <sheetName val="Promotion_selon_Kaydan35"/>
      <sheetName val="RECAP_(2)35"/>
      <sheetName val="sources_(2)35"/>
      <sheetName val="sources_(3)35"/>
      <sheetName val="sources_(4)35"/>
      <sheetName val="sources_(5)35"/>
      <sheetName val="sources_(6)35"/>
      <sheetName val="Modéle_Economqiue34"/>
      <sheetName val="Recap_surface34"/>
      <sheetName val="Bilan_Promoteurs_cumul34"/>
      <sheetName val="BILAN_DES_ACTEURS34"/>
      <sheetName val="Bilan_Promoteur_134"/>
      <sheetName val="Promoteur_134"/>
      <sheetName val="Bilan_Promoteur_234"/>
      <sheetName val="Promoteur_234"/>
      <sheetName val="DQE_3P_Jumelé34"/>
      <sheetName val="DQE_D4P_Jumelé34"/>
      <sheetName val="DQE_D4P_individuel34"/>
      <sheetName val="DQE_D5P34"/>
      <sheetName val="Programme_-_Finance_(2)34"/>
      <sheetName val="TABLEAU_CHARGES34"/>
      <sheetName val="charges_habitat34"/>
      <sheetName val="Promotion_immobiliere_initial34"/>
      <sheetName val="Promotion_immobiliere_134"/>
      <sheetName val="Promotion_immobiliere_234"/>
      <sheetName val="Programme_Immobilier34"/>
      <sheetName val="AN1_Promoteur_134"/>
      <sheetName val="AN1_Promoteur_234"/>
      <sheetName val="AN2_Promoteur_134"/>
      <sheetName val="AN2_Promoteur_234"/>
      <sheetName val="Programme_-_Finance34"/>
      <sheetName val="Programme_proposé34"/>
      <sheetName val="Tableau_Gosse34"/>
      <sheetName val="Promotion_selon_Kaydan34"/>
      <sheetName val="RECAP_(2)34"/>
      <sheetName val="sources_(2)34"/>
      <sheetName val="sources_(3)34"/>
      <sheetName val="sources_(4)34"/>
      <sheetName val="sources_(5)34"/>
      <sheetName val="sources_(6)34"/>
      <sheetName val="Modéle_Economqiue37"/>
      <sheetName val="Recap_surface37"/>
      <sheetName val="Bilan_Promoteurs_cumul37"/>
      <sheetName val="BILAN_DES_ACTEURS37"/>
      <sheetName val="Bilan_Promoteur_137"/>
      <sheetName val="Promoteur_137"/>
      <sheetName val="Bilan_Promoteur_237"/>
      <sheetName val="Promoteur_237"/>
      <sheetName val="DQE_3P_Jumelé37"/>
      <sheetName val="DQE_D4P_Jumelé37"/>
      <sheetName val="DQE_D4P_individuel37"/>
      <sheetName val="DQE_D5P37"/>
      <sheetName val="Programme_-_Finance_(2)37"/>
      <sheetName val="TABLEAU_CHARGES37"/>
      <sheetName val="charges_habitat37"/>
      <sheetName val="Promotion_immobiliere_initial37"/>
      <sheetName val="Promotion_immobiliere_137"/>
      <sheetName val="Promotion_immobiliere_237"/>
      <sheetName val="Programme_Immobilier37"/>
      <sheetName val="AN1_Promoteur_137"/>
      <sheetName val="AN1_Promoteur_237"/>
      <sheetName val="AN2_Promoteur_137"/>
      <sheetName val="AN2_Promoteur_237"/>
      <sheetName val="Programme_-_Finance37"/>
      <sheetName val="Programme_proposé37"/>
      <sheetName val="Tableau_Gosse37"/>
      <sheetName val="Promotion_selon_Kaydan37"/>
      <sheetName val="RECAP_(2)37"/>
      <sheetName val="sources_(2)37"/>
      <sheetName val="sources_(3)37"/>
      <sheetName val="sources_(4)37"/>
      <sheetName val="sources_(5)37"/>
      <sheetName val="sources_(6)37"/>
      <sheetName val="Modéle_Economqiue38"/>
      <sheetName val="Recap_surface38"/>
      <sheetName val="Bilan_Promoteurs_cumul38"/>
      <sheetName val="BILAN_DES_ACTEURS38"/>
      <sheetName val="Bilan_Promoteur_138"/>
      <sheetName val="Promoteur_138"/>
      <sheetName val="Bilan_Promoteur_238"/>
      <sheetName val="Promoteur_238"/>
      <sheetName val="DQE_3P_Jumelé38"/>
      <sheetName val="DQE_D4P_Jumelé38"/>
      <sheetName val="DQE_D4P_individuel38"/>
      <sheetName val="DQE_D5P38"/>
      <sheetName val="Programme_-_Finance_(2)38"/>
      <sheetName val="TABLEAU_CHARGES38"/>
      <sheetName val="charges_habitat38"/>
      <sheetName val="Promotion_immobiliere_initial38"/>
      <sheetName val="Promotion_immobiliere_138"/>
      <sheetName val="Promotion_immobiliere_238"/>
      <sheetName val="Programme_Immobilier38"/>
      <sheetName val="AN1_Promoteur_138"/>
      <sheetName val="AN1_Promoteur_238"/>
      <sheetName val="AN2_Promoteur_138"/>
      <sheetName val="AN2_Promoteur_238"/>
      <sheetName val="Programme_-_Finance38"/>
      <sheetName val="Programme_proposé38"/>
      <sheetName val="Tableau_Gosse38"/>
      <sheetName val="Promotion_selon_Kaydan38"/>
      <sheetName val="RECAP_(2)38"/>
      <sheetName val="sources_(2)38"/>
      <sheetName val="sources_(3)38"/>
      <sheetName val="sources_(4)38"/>
      <sheetName val="sources_(5)38"/>
      <sheetName val="sources_(6)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5">
          <cell r="F35">
            <v>6301804119.1739607</v>
          </cell>
        </row>
      </sheetData>
      <sheetData sheetId="25"/>
      <sheetData sheetId="26"/>
      <sheetData sheetId="27"/>
      <sheetData sheetId="28"/>
      <sheetData sheetId="29"/>
      <sheetData sheetId="30">
        <row r="6">
          <cell r="C6">
            <v>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35">
          <cell r="F35">
            <v>6301804119.1739607</v>
          </cell>
        </row>
      </sheetData>
      <sheetData sheetId="64"/>
      <sheetData sheetId="65"/>
      <sheetData sheetId="66">
        <row r="6">
          <cell r="C6">
            <v>1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35">
          <cell r="F35">
            <v>6301804119.1739607</v>
          </cell>
        </row>
      </sheetData>
      <sheetData sheetId="97"/>
      <sheetData sheetId="98"/>
      <sheetData sheetId="99">
        <row r="6">
          <cell r="C6">
            <v>1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5">
          <cell r="F35">
            <v>6301804119.1739607</v>
          </cell>
        </row>
      </sheetData>
      <sheetData sheetId="130"/>
      <sheetData sheetId="131"/>
      <sheetData sheetId="132">
        <row r="6">
          <cell r="C6">
            <v>1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35">
          <cell r="F35">
            <v>6301804119.1739607</v>
          </cell>
        </row>
      </sheetData>
      <sheetData sheetId="163"/>
      <sheetData sheetId="164"/>
      <sheetData sheetId="165">
        <row r="6">
          <cell r="C6">
            <v>1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35">
          <cell r="F35">
            <v>6301804119.1739607</v>
          </cell>
        </row>
      </sheetData>
      <sheetData sheetId="196"/>
      <sheetData sheetId="197"/>
      <sheetData sheetId="198">
        <row r="6">
          <cell r="C6">
            <v>1</v>
          </cell>
        </row>
      </sheetData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35">
          <cell r="F35">
            <v>6301804119.1739607</v>
          </cell>
        </row>
      </sheetData>
      <sheetData sheetId="229"/>
      <sheetData sheetId="230"/>
      <sheetData sheetId="231">
        <row r="6">
          <cell r="C6">
            <v>1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35">
          <cell r="F35">
            <v>6301804119.1739607</v>
          </cell>
        </row>
      </sheetData>
      <sheetData sheetId="262"/>
      <sheetData sheetId="263"/>
      <sheetData sheetId="264">
        <row r="6">
          <cell r="C6">
            <v>1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>
        <row r="35">
          <cell r="F35">
            <v>6301804119.1739607</v>
          </cell>
        </row>
      </sheetData>
      <sheetData sheetId="295"/>
      <sheetData sheetId="296"/>
      <sheetData sheetId="297">
        <row r="6">
          <cell r="C6">
            <v>1</v>
          </cell>
        </row>
      </sheetData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>
        <row r="35">
          <cell r="F35">
            <v>6301804119.1739607</v>
          </cell>
        </row>
      </sheetData>
      <sheetData sheetId="328"/>
      <sheetData sheetId="329"/>
      <sheetData sheetId="330">
        <row r="6">
          <cell r="C6">
            <v>1</v>
          </cell>
        </row>
      </sheetData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>
        <row r="35">
          <cell r="F35">
            <v>6301804119.1739607</v>
          </cell>
        </row>
      </sheetData>
      <sheetData sheetId="361"/>
      <sheetData sheetId="362"/>
      <sheetData sheetId="363">
        <row r="6">
          <cell r="C6">
            <v>1</v>
          </cell>
        </row>
      </sheetData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>
        <row r="35">
          <cell r="F35">
            <v>6301804119.1739607</v>
          </cell>
        </row>
      </sheetData>
      <sheetData sheetId="394"/>
      <sheetData sheetId="395"/>
      <sheetData sheetId="396">
        <row r="6">
          <cell r="C6">
            <v>1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>
        <row r="35">
          <cell r="F35">
            <v>6301804119.1739607</v>
          </cell>
        </row>
      </sheetData>
      <sheetData sheetId="427"/>
      <sheetData sheetId="428"/>
      <sheetData sheetId="429">
        <row r="6">
          <cell r="C6">
            <v>1</v>
          </cell>
        </row>
      </sheetData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35">
          <cell r="F35">
            <v>6301804119.1739607</v>
          </cell>
        </row>
      </sheetData>
      <sheetData sheetId="460"/>
      <sheetData sheetId="461"/>
      <sheetData sheetId="462">
        <row r="6">
          <cell r="C6">
            <v>1</v>
          </cell>
        </row>
      </sheetData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>
        <row r="35">
          <cell r="F35">
            <v>6301804119.1739607</v>
          </cell>
        </row>
      </sheetData>
      <sheetData sheetId="493"/>
      <sheetData sheetId="494"/>
      <sheetData sheetId="495">
        <row r="6">
          <cell r="C6">
            <v>1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>
        <row r="35">
          <cell r="F35">
            <v>6301804119.1739607</v>
          </cell>
        </row>
      </sheetData>
      <sheetData sheetId="526"/>
      <sheetData sheetId="527"/>
      <sheetData sheetId="528">
        <row r="6">
          <cell r="C6">
            <v>1</v>
          </cell>
        </row>
      </sheetData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>
        <row r="35">
          <cell r="F35">
            <v>6301804119.1739607</v>
          </cell>
        </row>
      </sheetData>
      <sheetData sheetId="559"/>
      <sheetData sheetId="560"/>
      <sheetData sheetId="561">
        <row r="6">
          <cell r="C6">
            <v>1</v>
          </cell>
        </row>
      </sheetData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>
        <row r="35">
          <cell r="F35">
            <v>6301804119.1739607</v>
          </cell>
        </row>
      </sheetData>
      <sheetData sheetId="592"/>
      <sheetData sheetId="593"/>
      <sheetData sheetId="594">
        <row r="6">
          <cell r="C6">
            <v>1</v>
          </cell>
        </row>
      </sheetData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>
        <row r="35">
          <cell r="F35">
            <v>6301804119.1739607</v>
          </cell>
        </row>
      </sheetData>
      <sheetData sheetId="625"/>
      <sheetData sheetId="626"/>
      <sheetData sheetId="627">
        <row r="6">
          <cell r="C6">
            <v>1</v>
          </cell>
        </row>
      </sheetData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>
        <row r="35">
          <cell r="F35">
            <v>6301804119.1739607</v>
          </cell>
        </row>
      </sheetData>
      <sheetData sheetId="658"/>
      <sheetData sheetId="659"/>
      <sheetData sheetId="660">
        <row r="6">
          <cell r="C6">
            <v>1</v>
          </cell>
        </row>
      </sheetData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>
        <row r="35">
          <cell r="F35">
            <v>6301804119.1739607</v>
          </cell>
        </row>
      </sheetData>
      <sheetData sheetId="691"/>
      <sheetData sheetId="692"/>
      <sheetData sheetId="693">
        <row r="6">
          <cell r="C6">
            <v>1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>
        <row r="35">
          <cell r="F35">
            <v>6301804119.1739607</v>
          </cell>
        </row>
      </sheetData>
      <sheetData sheetId="724"/>
      <sheetData sheetId="725"/>
      <sheetData sheetId="726">
        <row r="6">
          <cell r="C6">
            <v>1</v>
          </cell>
        </row>
      </sheetData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>
        <row r="35">
          <cell r="F35">
            <v>6301804119.1739607</v>
          </cell>
        </row>
      </sheetData>
      <sheetData sheetId="757"/>
      <sheetData sheetId="758"/>
      <sheetData sheetId="759">
        <row r="6">
          <cell r="C6">
            <v>1</v>
          </cell>
        </row>
      </sheetData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>
        <row r="35">
          <cell r="F35">
            <v>6301804119.1739607</v>
          </cell>
        </row>
      </sheetData>
      <sheetData sheetId="790"/>
      <sheetData sheetId="791"/>
      <sheetData sheetId="792">
        <row r="6">
          <cell r="C6">
            <v>1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>
        <row r="35">
          <cell r="F35">
            <v>6301804119.1739607</v>
          </cell>
        </row>
      </sheetData>
      <sheetData sheetId="823"/>
      <sheetData sheetId="824"/>
      <sheetData sheetId="825">
        <row r="6">
          <cell r="C6">
            <v>1</v>
          </cell>
        </row>
      </sheetData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35">
          <cell r="F35">
            <v>6301804119.1739607</v>
          </cell>
        </row>
      </sheetData>
      <sheetData sheetId="856"/>
      <sheetData sheetId="857"/>
      <sheetData sheetId="858">
        <row r="6">
          <cell r="C6">
            <v>1</v>
          </cell>
        </row>
      </sheetData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>
        <row r="35">
          <cell r="F35">
            <v>6301804119.1739607</v>
          </cell>
        </row>
      </sheetData>
      <sheetData sheetId="889"/>
      <sheetData sheetId="890"/>
      <sheetData sheetId="891">
        <row r="6">
          <cell r="C6">
            <v>1</v>
          </cell>
        </row>
      </sheetData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>
        <row r="35">
          <cell r="F35">
            <v>6301804119.1739607</v>
          </cell>
        </row>
      </sheetData>
      <sheetData sheetId="922"/>
      <sheetData sheetId="923"/>
      <sheetData sheetId="924">
        <row r="6">
          <cell r="C6">
            <v>1</v>
          </cell>
        </row>
      </sheetData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>
        <row r="35">
          <cell r="F35">
            <v>6301804119.1739607</v>
          </cell>
        </row>
      </sheetData>
      <sheetData sheetId="955"/>
      <sheetData sheetId="956"/>
      <sheetData sheetId="957">
        <row r="6">
          <cell r="C6">
            <v>1</v>
          </cell>
        </row>
      </sheetData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>
        <row r="35">
          <cell r="F35">
            <v>6301804119.1739607</v>
          </cell>
        </row>
      </sheetData>
      <sheetData sheetId="988"/>
      <sheetData sheetId="989"/>
      <sheetData sheetId="990">
        <row r="6">
          <cell r="C6">
            <v>1</v>
          </cell>
        </row>
      </sheetData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>
        <row r="35">
          <cell r="F35">
            <v>6301804119.1739607</v>
          </cell>
        </row>
      </sheetData>
      <sheetData sheetId="1021"/>
      <sheetData sheetId="1022"/>
      <sheetData sheetId="1023">
        <row r="6">
          <cell r="C6">
            <v>1</v>
          </cell>
        </row>
      </sheetData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>
        <row r="35">
          <cell r="F35">
            <v>6301804119.1739607</v>
          </cell>
        </row>
      </sheetData>
      <sheetData sheetId="1054"/>
      <sheetData sheetId="1055"/>
      <sheetData sheetId="1056">
        <row r="6">
          <cell r="C6">
            <v>1</v>
          </cell>
        </row>
      </sheetData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>
        <row r="35">
          <cell r="F35">
            <v>6301804119.1739607</v>
          </cell>
        </row>
      </sheetData>
      <sheetData sheetId="1087"/>
      <sheetData sheetId="1088"/>
      <sheetData sheetId="1089">
        <row r="6">
          <cell r="C6">
            <v>1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>
        <row r="35">
          <cell r="F35">
            <v>6301804119.1739607</v>
          </cell>
        </row>
      </sheetData>
      <sheetData sheetId="1120"/>
      <sheetData sheetId="1121"/>
      <sheetData sheetId="1122">
        <row r="6">
          <cell r="C6">
            <v>1</v>
          </cell>
        </row>
      </sheetData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>
        <row r="35">
          <cell r="F35">
            <v>6301804119.1739607</v>
          </cell>
        </row>
      </sheetData>
      <sheetData sheetId="1153"/>
      <sheetData sheetId="1154"/>
      <sheetData sheetId="1155">
        <row r="6">
          <cell r="C6">
            <v>1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>
        <row r="35">
          <cell r="F35">
            <v>6301804119.1739607</v>
          </cell>
        </row>
      </sheetData>
      <sheetData sheetId="1186"/>
      <sheetData sheetId="1187"/>
      <sheetData sheetId="1188">
        <row r="6">
          <cell r="C6">
            <v>1</v>
          </cell>
        </row>
      </sheetData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>
        <row r="35">
          <cell r="F35">
            <v>6301804119.1739607</v>
          </cell>
        </row>
      </sheetData>
      <sheetData sheetId="1219"/>
      <sheetData sheetId="1220"/>
      <sheetData sheetId="1221">
        <row r="6">
          <cell r="C6">
            <v>1</v>
          </cell>
        </row>
      </sheetData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>
        <row r="35">
          <cell r="F35">
            <v>6301804119.1739607</v>
          </cell>
        </row>
      </sheetData>
      <sheetData sheetId="1252"/>
      <sheetData sheetId="1253"/>
      <sheetData sheetId="1254">
        <row r="6">
          <cell r="C6">
            <v>1</v>
          </cell>
        </row>
      </sheetData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35">
          <cell r="F35">
            <v>6301804119.1739607</v>
          </cell>
        </row>
      </sheetData>
      <sheetData sheetId="1285"/>
      <sheetData sheetId="1286"/>
      <sheetData sheetId="1287">
        <row r="6">
          <cell r="C6">
            <v>1</v>
          </cell>
        </row>
      </sheetData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>
        <row r="35">
          <cell r="F35">
            <v>6301804119.1739607</v>
          </cell>
        </row>
      </sheetData>
      <sheetData sheetId="1318"/>
      <sheetData sheetId="1319"/>
      <sheetData sheetId="1320">
        <row r="6">
          <cell r="C6">
            <v>1</v>
          </cell>
        </row>
      </sheetData>
      <sheetData sheetId="1321"/>
      <sheetData sheetId="1322"/>
      <sheetData sheetId="1323"/>
      <sheetData sheetId="1324"/>
      <sheetData sheetId="1325"/>
      <sheetData sheetId="13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aciers1"/>
      <sheetName val="Prix_buses1"/>
      <sheetName val="Qtés_aciers_buses1"/>
      <sheetName val="Qtés_aciers_têtes1"/>
      <sheetName val="FOURNITURES"/>
      <sheetName val="MATERIEL"/>
      <sheetName val="PERSONNEL"/>
      <sheetName val="N°-PRIX_RDTS"/>
      <sheetName val="Personnel_cadre1"/>
      <sheetName val="ETUDE_PRIX"/>
      <sheetName val="STRUCTURE_PRIX"/>
      <sheetName val="Ss-Détails_P_U_A_FIMR-CGFCC1"/>
      <sheetName val="DEBOURSE_SEC1"/>
      <sheetName val="DQE_1"/>
      <sheetName val="BUDGET"/>
      <sheetName val="RECAP"/>
      <sheetName val="PLANNING_Global"/>
      <sheetName val="PLANNING_BC-N°1"/>
      <sheetName val="PLANNING_BC-N°2"/>
      <sheetName val="PLANNING_BC-N°3"/>
      <sheetName val="Synthèse_de_scénarios_21"/>
      <sheetName val="Synthèse_de_scénarios1"/>
      <sheetName val="EXEPLE_PLANNIG1"/>
      <sheetName val="Lot_I3RL_(simulations_2002)_Ac1"/>
      <sheetName val="Aciers"/>
      <sheetName val="Suivi"/>
      <sheetName val="Dalot_2x2,00x2,001"/>
      <sheetName val="Dalot_2x3,00x3,001"/>
      <sheetName val="BPU"/>
      <sheetName val="Liste_des_prix_(2)1"/>
      <sheetName val="Récap_Toumodi"/>
      <sheetName val="Suivi_Assakra1"/>
      <sheetName val="Recapitul_des_decomptes1"/>
      <sheetName val="calcul_aciers"/>
      <sheetName val="Prix_buses"/>
      <sheetName val="Qtés_aciers_buses"/>
      <sheetName val="Qtés_aciers_têtes"/>
      <sheetName val="Personnel_cadre"/>
      <sheetName val="Ss-Détails_P_U_A_FIMR-CGFCC"/>
      <sheetName val="DEBOURSE_SEC"/>
      <sheetName val="DQE_"/>
      <sheetName val="Synthèse_de_scénarios_2"/>
      <sheetName val="Synthèse_de_scénarios"/>
      <sheetName val="EXEPLE_PLANNIG"/>
      <sheetName val="Lot_I3RL_(simulations_2002)_Act"/>
      <sheetName val="Dalot_2x2,00x2,00"/>
      <sheetName val="Dalot_2x3,00x3,00"/>
      <sheetName val="Liste_des_prix_(2)"/>
      <sheetName val="Suivi_Assakra"/>
      <sheetName val="Recapitul_des_decomptes"/>
      <sheetName val="calcul_aciers3"/>
      <sheetName val="Prix_buses3"/>
      <sheetName val="Qtés_aciers_buses3"/>
      <sheetName val="Qtés_aciers_têtes3"/>
      <sheetName val="Personnel_cadre3"/>
      <sheetName val="Ss-Détails_P_U_A_FIMR-CGFCC3"/>
      <sheetName val="DEBOURSE_SEC3"/>
      <sheetName val="DQE_3"/>
      <sheetName val="Synthèse_de_scénarios_23"/>
      <sheetName val="Synthèse_de_scénarios3"/>
      <sheetName val="EXEPLE_PLANNIG3"/>
      <sheetName val="Lot_I3RL_(simulations_2002)_Ac3"/>
      <sheetName val="Dalot_2x2,00x2,003"/>
      <sheetName val="Dalot_2x3,00x3,003"/>
      <sheetName val="Liste_des_prix_(2)3"/>
      <sheetName val="Suivi_Assakra3"/>
      <sheetName val="Recapitul_des_decomptes3"/>
      <sheetName val="calcul_aciers2"/>
      <sheetName val="Prix_buses2"/>
      <sheetName val="Qtés_aciers_buses2"/>
      <sheetName val="Qtés_aciers_têtes2"/>
      <sheetName val="Personnel_cadre2"/>
      <sheetName val="Ss-Détails_P_U_A_FIMR-CGFCC2"/>
      <sheetName val="DEBOURSE_SEC2"/>
      <sheetName val="DQE_2"/>
      <sheetName val="Synthèse_de_scénarios_22"/>
      <sheetName val="Synthèse_de_scénarios2"/>
      <sheetName val="EXEPLE_PLANNIG2"/>
      <sheetName val="Lot_I3RL_(simulations_2002)_Ac2"/>
      <sheetName val="Dalot_2x2,00x2,002"/>
      <sheetName val="Dalot_2x3,00x3,002"/>
      <sheetName val="Liste_des_prix_(2)2"/>
      <sheetName val="Suivi_Assakra2"/>
      <sheetName val="Recapitul_des_decomptes2"/>
      <sheetName val="calcul aciers"/>
      <sheetName val="Prix buses"/>
      <sheetName val="Qtés aciers buses"/>
      <sheetName val="Qtés aciers têtes"/>
      <sheetName val="Personnel cadre"/>
      <sheetName val="Ss-Détails P.U.A FIMR-CGFCC"/>
      <sheetName val="DEBOURSE SEC"/>
      <sheetName val="DQE "/>
      <sheetName val="Synthèse de scénarios 2"/>
      <sheetName val="Synthèse de scénarios"/>
      <sheetName val="EXEPLE PLANNIG"/>
      <sheetName val="Lot I3RL (simulations 2002) Act"/>
      <sheetName val="Dalot 2x2,00x2,00"/>
      <sheetName val="Dalot 2x3,00x3,00"/>
      <sheetName val="Liste des prix (2)"/>
      <sheetName val="Suivi Assakra"/>
      <sheetName val="Recapitul des decomptes"/>
    </sheetNames>
    <sheetDataSet>
      <sheetData sheetId="0"/>
      <sheetData sheetId="1"/>
      <sheetData sheetId="2"/>
      <sheetData sheetId="3"/>
      <sheetData sheetId="4">
        <row r="24">
          <cell r="D24">
            <v>508.28677966101696</v>
          </cell>
        </row>
      </sheetData>
      <sheetData sheetId="5"/>
      <sheetData sheetId="6">
        <row r="13">
          <cell r="J13">
            <v>5644.4729133194442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T1">
            <v>213.5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vi_budget"/>
      <sheetName val="Suivi_budget1"/>
      <sheetName val="Budget (2)"/>
      <sheetName val="Prix buses"/>
      <sheetName val="Fournitures"/>
      <sheetName val="Matériel"/>
      <sheetName val="Personnel"/>
      <sheetName val="C.A 1er mois"/>
      <sheetName val="C.A 2è mois"/>
      <sheetName val="DONNEES"/>
      <sheetName val="Rdt_Exécut°"/>
      <sheetName val="Budget"/>
      <sheetName val="RECAP"/>
      <sheetName val="Suivi budget"/>
      <sheetName val="Planning"/>
    </sheetNames>
    <sheetDataSet>
      <sheetData sheetId="0" refreshError="1"/>
      <sheetData sheetId="1" refreshError="1"/>
      <sheetData sheetId="2"/>
      <sheetData sheetId="3">
        <row r="12">
          <cell r="F12">
            <v>80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TATION"/>
      <sheetName val="MATERIELS"/>
      <sheetName val="Etimatifs Matériel Joints Creux"/>
      <sheetName val="Récap détaillé Matériel Chiffré"/>
      <sheetName val="Récap Générale Matériels"/>
    </sheetNames>
    <sheetDataSet>
      <sheetData sheetId="0">
        <row r="7">
          <cell r="C7">
            <v>18.32</v>
          </cell>
        </row>
        <row r="9">
          <cell r="C9">
            <v>25.26</v>
          </cell>
        </row>
        <row r="18">
          <cell r="C18">
            <v>16.46</v>
          </cell>
        </row>
        <row r="20">
          <cell r="C20">
            <v>17.489999999999998</v>
          </cell>
        </row>
        <row r="21">
          <cell r="C21">
            <v>8</v>
          </cell>
        </row>
        <row r="22">
          <cell r="C22">
            <v>18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D16" sqref="D16"/>
    </sheetView>
  </sheetViews>
  <sheetFormatPr baseColWidth="10" defaultRowHeight="15" x14ac:dyDescent="0.25"/>
  <cols>
    <col min="1" max="1" width="11.42578125" customWidth="1"/>
    <col min="2" max="2" width="30" customWidth="1"/>
    <col min="3" max="3" width="11.42578125" customWidth="1"/>
    <col min="4" max="4" width="14.140625" customWidth="1"/>
    <col min="5" max="5" width="18.42578125" customWidth="1"/>
    <col min="6" max="6" width="17.28515625" customWidth="1"/>
    <col min="7" max="7" width="11.42578125" customWidth="1"/>
  </cols>
  <sheetData>
    <row r="1" spans="1:12" ht="15.75" x14ac:dyDescent="0.25">
      <c r="E1" s="50">
        <v>44180</v>
      </c>
      <c r="F1" s="50"/>
    </row>
    <row r="4" spans="1:12" ht="18.75" customHeight="1" x14ac:dyDescent="0.35">
      <c r="A4" s="51" t="s">
        <v>26</v>
      </c>
      <c r="B4" s="51"/>
      <c r="C4" s="51"/>
      <c r="D4" s="51"/>
      <c r="E4" s="51"/>
      <c r="F4" s="51"/>
    </row>
    <row r="7" spans="1:12" ht="18" x14ac:dyDescent="0.25">
      <c r="A7" s="1" t="s">
        <v>0</v>
      </c>
      <c r="B7" s="2" t="s">
        <v>1</v>
      </c>
      <c r="C7" s="3" t="s">
        <v>2</v>
      </c>
      <c r="D7" s="3" t="s">
        <v>3</v>
      </c>
      <c r="E7" s="4" t="s">
        <v>4</v>
      </c>
      <c r="F7" s="5" t="s">
        <v>5</v>
      </c>
    </row>
    <row r="8" spans="1:12" ht="18" x14ac:dyDescent="0.25">
      <c r="A8" s="52"/>
      <c r="B8" s="52"/>
      <c r="C8" s="52"/>
      <c r="D8" s="52"/>
      <c r="E8" s="52"/>
      <c r="F8" s="52"/>
    </row>
    <row r="9" spans="1:12" ht="36" x14ac:dyDescent="0.25">
      <c r="A9" s="6">
        <v>1</v>
      </c>
      <c r="B9" s="7" t="s">
        <v>38</v>
      </c>
      <c r="C9" s="8" t="s">
        <v>8</v>
      </c>
      <c r="D9" s="9">
        <f>+'COMMANDE_POUR_LA_COUVERTURE 4P'!D10+'COMMANDE_POUR_LA_COUVERTURE 4P'!D11+'COMMANDE_POUR_LA_COUVERTURE 4P'!D13+'COMMANDE_POUR_LA_COUVERTURE 4P'!D17+'COMMANDE_POUR_LA_COUVERTURE 4P'!D18+'COMMANDE_POUR_LA_COUVERTURE 4P'!D19+'COMMANDE_POUR_LA_COUVERTURE 4P'!D20+'COMMANDE_POUR_LA_COUVERTURE 4P'!D24</f>
        <v>116.694</v>
      </c>
      <c r="E9" s="10">
        <v>10500</v>
      </c>
      <c r="F9" s="11">
        <f>+D9*E9</f>
        <v>1225287</v>
      </c>
      <c r="G9" s="12"/>
    </row>
    <row r="10" spans="1:12" ht="18" x14ac:dyDescent="0.25">
      <c r="A10" s="6">
        <v>2</v>
      </c>
      <c r="B10" s="7" t="s">
        <v>39</v>
      </c>
      <c r="C10" s="8" t="s">
        <v>8</v>
      </c>
      <c r="D10" s="9">
        <f>+'COMMANDE_POUR_LA_COUVERTURE 4P'!D12+'COMMANDE_POUR_LA_COUVERTURE 4P'!D14+'COMMANDE_POUR_LA_COUVERTURE 4P'!D21+'COMMANDE_POUR_LA_COUVERTURE 4P'!D22+'COMMANDE_POUR_LA_COUVERTURE 4P'!D23</f>
        <v>27.81</v>
      </c>
      <c r="E10" s="10">
        <v>11500</v>
      </c>
      <c r="F10" s="11">
        <f>+E10*D10</f>
        <v>319815</v>
      </c>
      <c r="G10" s="12"/>
    </row>
    <row r="11" spans="1:12" ht="18" x14ac:dyDescent="0.25">
      <c r="A11" s="6">
        <v>3</v>
      </c>
      <c r="B11" s="7" t="s">
        <v>40</v>
      </c>
      <c r="C11" s="8" t="s">
        <v>34</v>
      </c>
      <c r="D11" s="9">
        <f>+'COMMANDE_POUR_LA_COUVERTURE 4P'!D15+'COMMANDE_POUR_LA_COUVERTURE 4P'!D25</f>
        <v>103.53</v>
      </c>
      <c r="E11" s="10">
        <v>4500</v>
      </c>
      <c r="F11" s="11">
        <f>+E11*D11</f>
        <v>465885</v>
      </c>
      <c r="G11" s="12"/>
    </row>
    <row r="12" spans="1:12" ht="18" x14ac:dyDescent="0.25">
      <c r="A12" s="13">
        <v>4</v>
      </c>
      <c r="B12" s="14" t="s">
        <v>27</v>
      </c>
      <c r="C12" s="8" t="s">
        <v>8</v>
      </c>
      <c r="D12" s="9">
        <f>+'COMMANDE_POUR_LA_COUVERTURE 4P'!D26+'COMMANDE_POUR_LA_COUVERTURE 4P'!D27+'COMMANDE_POUR_LA_COUVERTURE 4P'!D28</f>
        <v>32.843899999999998</v>
      </c>
      <c r="E12" s="10">
        <v>12000</v>
      </c>
      <c r="F12" s="11">
        <f>+D12*E12</f>
        <v>394126.8</v>
      </c>
    </row>
    <row r="13" spans="1:12" x14ac:dyDescent="0.25">
      <c r="L13" s="16"/>
    </row>
    <row r="14" spans="1:12" ht="18" x14ac:dyDescent="0.25">
      <c r="B14" s="19"/>
    </row>
  </sheetData>
  <mergeCells count="3">
    <mergeCell ref="E1:F1"/>
    <mergeCell ref="A4:F4"/>
    <mergeCell ref="A8:F8"/>
  </mergeCells>
  <pageMargins left="0.70866141732283516" right="0.70866141732283516" top="0.74803149606299213" bottom="0.74803149606299213" header="0.31496062992126012" footer="0.31496062992126012"/>
  <pageSetup paperSize="9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32"/>
  <sheetViews>
    <sheetView tabSelected="1" workbookViewId="0">
      <selection activeCell="G8" sqref="G8"/>
    </sheetView>
  </sheetViews>
  <sheetFormatPr baseColWidth="10" defaultRowHeight="15" x14ac:dyDescent="0.25"/>
  <cols>
    <col min="1" max="1" width="11.42578125" customWidth="1"/>
    <col min="2" max="2" width="30" customWidth="1"/>
    <col min="3" max="3" width="11.42578125" customWidth="1"/>
    <col min="4" max="4" width="14.140625" customWidth="1"/>
    <col min="5" max="5" width="25.28515625" customWidth="1"/>
  </cols>
  <sheetData>
    <row r="5" spans="1:5" ht="18.75" customHeight="1" x14ac:dyDescent="0.35">
      <c r="A5" s="51" t="s">
        <v>41</v>
      </c>
      <c r="B5" s="51"/>
      <c r="C5" s="51"/>
      <c r="D5" s="51"/>
    </row>
    <row r="8" spans="1:5" ht="18" x14ac:dyDescent="0.25">
      <c r="A8" s="1" t="s">
        <v>0</v>
      </c>
      <c r="B8" s="2" t="s">
        <v>1</v>
      </c>
      <c r="C8" s="3" t="s">
        <v>2</v>
      </c>
      <c r="D8" s="3" t="s">
        <v>3</v>
      </c>
      <c r="E8" s="25" t="s">
        <v>29</v>
      </c>
    </row>
    <row r="9" spans="1:5" ht="18" x14ac:dyDescent="0.25">
      <c r="A9" s="54" t="s">
        <v>6</v>
      </c>
      <c r="B9" s="55"/>
      <c r="C9" s="55"/>
      <c r="D9" s="55"/>
      <c r="E9" s="55"/>
    </row>
    <row r="10" spans="1:5" ht="30" x14ac:dyDescent="0.25">
      <c r="A10" s="6">
        <v>1</v>
      </c>
      <c r="B10" s="7" t="s">
        <v>7</v>
      </c>
      <c r="C10" s="8" t="s">
        <v>8</v>
      </c>
      <c r="D10" s="9">
        <f>34.45-(0.05*25.29)</f>
        <v>33.185500000000005</v>
      </c>
      <c r="E10" s="30" t="s">
        <v>31</v>
      </c>
    </row>
    <row r="11" spans="1:5" ht="30" x14ac:dyDescent="0.25">
      <c r="A11" s="13">
        <v>2</v>
      </c>
      <c r="B11" s="14" t="s">
        <v>9</v>
      </c>
      <c r="C11" s="8" t="s">
        <v>8</v>
      </c>
      <c r="D11" s="9">
        <f>12.87-(17.44*0.05)</f>
        <v>11.997999999999999</v>
      </c>
      <c r="E11" s="30" t="s">
        <v>31</v>
      </c>
    </row>
    <row r="12" spans="1:5" ht="30" x14ac:dyDescent="0.25">
      <c r="A12" s="13">
        <v>3</v>
      </c>
      <c r="B12" s="14" t="s">
        <v>10</v>
      </c>
      <c r="C12" s="8" t="s">
        <v>8</v>
      </c>
      <c r="D12" s="9">
        <f>+(6.05+7.47)</f>
        <v>13.52</v>
      </c>
      <c r="E12" s="31" t="s">
        <v>32</v>
      </c>
    </row>
    <row r="13" spans="1:5" ht="30" x14ac:dyDescent="0.25">
      <c r="A13" s="13">
        <v>4</v>
      </c>
      <c r="B13" s="14" t="s">
        <v>11</v>
      </c>
      <c r="C13" s="8" t="s">
        <v>8</v>
      </c>
      <c r="D13" s="9">
        <v>11.34</v>
      </c>
      <c r="E13" s="29" t="s">
        <v>30</v>
      </c>
    </row>
    <row r="14" spans="1:5" ht="32.25" customHeight="1" x14ac:dyDescent="0.25">
      <c r="A14" s="32">
        <v>5</v>
      </c>
      <c r="B14" s="33" t="s">
        <v>12</v>
      </c>
      <c r="C14" s="34" t="s">
        <v>8</v>
      </c>
      <c r="D14" s="35">
        <v>3.27</v>
      </c>
      <c r="E14" s="31" t="s">
        <v>32</v>
      </c>
    </row>
    <row r="15" spans="1:5" ht="18" x14ac:dyDescent="0.25">
      <c r="A15" s="54" t="s">
        <v>13</v>
      </c>
      <c r="B15" s="55"/>
      <c r="C15" s="55"/>
      <c r="D15" s="55"/>
      <c r="E15" s="55"/>
    </row>
    <row r="16" spans="1:5" ht="30" x14ac:dyDescent="0.25">
      <c r="A16" s="6">
        <v>1</v>
      </c>
      <c r="B16" s="7" t="s">
        <v>14</v>
      </c>
      <c r="C16" s="8" t="s">
        <v>8</v>
      </c>
      <c r="D16" s="9">
        <f>15.65-(17.43*0.05)</f>
        <v>14.778500000000001</v>
      </c>
      <c r="E16" s="30" t="s">
        <v>31</v>
      </c>
    </row>
    <row r="17" spans="1:10" ht="30" x14ac:dyDescent="0.25">
      <c r="A17" s="13">
        <v>2</v>
      </c>
      <c r="B17" s="14" t="s">
        <v>15</v>
      </c>
      <c r="C17" s="15" t="s">
        <v>8</v>
      </c>
      <c r="D17" s="9">
        <f>14.94-(0.05*16.4)</f>
        <v>14.12</v>
      </c>
      <c r="E17" s="30" t="s">
        <v>31</v>
      </c>
    </row>
    <row r="18" spans="1:10" ht="30" x14ac:dyDescent="0.25">
      <c r="A18" s="13">
        <v>3</v>
      </c>
      <c r="B18" s="14" t="s">
        <v>16</v>
      </c>
      <c r="C18" s="15" t="s">
        <v>8</v>
      </c>
      <c r="D18" s="9">
        <f>12.94-(17.53*0.05)</f>
        <v>12.063499999999999</v>
      </c>
      <c r="E18" s="30" t="s">
        <v>31</v>
      </c>
    </row>
    <row r="19" spans="1:10" ht="32.25" customHeight="1" x14ac:dyDescent="0.25">
      <c r="A19" s="13">
        <v>4</v>
      </c>
      <c r="B19" s="14" t="s">
        <v>17</v>
      </c>
      <c r="C19" s="15" t="s">
        <v>8</v>
      </c>
      <c r="D19" s="9">
        <v>14.92</v>
      </c>
      <c r="E19" s="29" t="s">
        <v>30</v>
      </c>
    </row>
    <row r="20" spans="1:10" ht="32.25" customHeight="1" x14ac:dyDescent="0.25">
      <c r="A20" s="13">
        <v>5</v>
      </c>
      <c r="B20" s="14" t="s">
        <v>18</v>
      </c>
      <c r="C20" s="15" t="s">
        <v>8</v>
      </c>
      <c r="D20" s="9">
        <v>4.04</v>
      </c>
      <c r="E20" s="31" t="s">
        <v>32</v>
      </c>
    </row>
    <row r="21" spans="1:10" ht="30" x14ac:dyDescent="0.25">
      <c r="A21" s="13">
        <v>6</v>
      </c>
      <c r="B21" s="14" t="s">
        <v>19</v>
      </c>
      <c r="C21" s="15" t="s">
        <v>8</v>
      </c>
      <c r="D21" s="9">
        <v>3.67</v>
      </c>
      <c r="E21" s="31" t="s">
        <v>32</v>
      </c>
    </row>
    <row r="22" spans="1:10" ht="30" x14ac:dyDescent="0.25">
      <c r="A22" s="13">
        <v>7</v>
      </c>
      <c r="B22" s="14" t="s">
        <v>20</v>
      </c>
      <c r="C22" s="15" t="s">
        <v>8</v>
      </c>
      <c r="D22" s="9">
        <v>3.31</v>
      </c>
      <c r="E22" s="31" t="s">
        <v>32</v>
      </c>
    </row>
    <row r="23" spans="1:10" ht="36.75" customHeight="1" x14ac:dyDescent="0.25">
      <c r="A23" s="13">
        <v>8</v>
      </c>
      <c r="B23" s="14" t="s">
        <v>21</v>
      </c>
      <c r="C23" s="15" t="s">
        <v>8</v>
      </c>
      <c r="D23" s="9">
        <f>4.74-(9.03*0.05)</f>
        <v>4.2885</v>
      </c>
      <c r="E23" s="30" t="s">
        <v>31</v>
      </c>
      <c r="I23" s="16"/>
    </row>
    <row r="24" spans="1:10" ht="18" x14ac:dyDescent="0.25">
      <c r="A24" s="56" t="s">
        <v>25</v>
      </c>
      <c r="B24" s="57"/>
      <c r="C24" s="58"/>
      <c r="D24" s="18">
        <f>SUM(D10:D23)</f>
        <v>144.50399999999999</v>
      </c>
      <c r="E24" s="27"/>
      <c r="J24" s="16"/>
    </row>
    <row r="26" spans="1:10" ht="33" customHeight="1" x14ac:dyDescent="0.25">
      <c r="B26" s="19"/>
    </row>
    <row r="27" spans="1:10" ht="33" customHeight="1" x14ac:dyDescent="0.25">
      <c r="B27" s="19"/>
    </row>
    <row r="28" spans="1:10" x14ac:dyDescent="0.25">
      <c r="A28" s="53" t="s">
        <v>28</v>
      </c>
      <c r="B28" s="53"/>
      <c r="C28" s="53"/>
      <c r="D28" s="53"/>
      <c r="F28" s="16"/>
    </row>
    <row r="32" spans="1:10" x14ac:dyDescent="0.25">
      <c r="F32" s="16"/>
    </row>
  </sheetData>
  <mergeCells count="5">
    <mergeCell ref="A28:D28"/>
    <mergeCell ref="A5:D5"/>
    <mergeCell ref="A9:E9"/>
    <mergeCell ref="A15:E15"/>
    <mergeCell ref="A24:C24"/>
  </mergeCells>
  <pageMargins left="0.25" right="0.25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sqref="A1:XFD1048576"/>
    </sheetView>
  </sheetViews>
  <sheetFormatPr baseColWidth="10" defaultRowHeight="15" x14ac:dyDescent="0.25"/>
  <cols>
    <col min="1" max="1" width="11.42578125" customWidth="1"/>
    <col min="2" max="2" width="30" customWidth="1"/>
    <col min="3" max="3" width="11.42578125" customWidth="1"/>
    <col min="4" max="4" width="14.140625" customWidth="1"/>
    <col min="5" max="5" width="18.42578125" customWidth="1"/>
    <col min="6" max="6" width="17.28515625" customWidth="1"/>
    <col min="7" max="7" width="25.28515625" customWidth="1"/>
  </cols>
  <sheetData>
    <row r="1" spans="1:7" ht="15.75" x14ac:dyDescent="0.25">
      <c r="E1" s="50">
        <v>44180</v>
      </c>
      <c r="F1" s="50"/>
    </row>
    <row r="5" spans="1:7" ht="18.75" customHeight="1" x14ac:dyDescent="0.35">
      <c r="A5" s="51" t="s">
        <v>26</v>
      </c>
      <c r="B5" s="51"/>
      <c r="C5" s="51"/>
      <c r="D5" s="51"/>
      <c r="E5" s="51"/>
      <c r="F5" s="51"/>
    </row>
    <row r="8" spans="1:7" ht="18" x14ac:dyDescent="0.25">
      <c r="A8" s="1" t="s">
        <v>0</v>
      </c>
      <c r="B8" s="2" t="s">
        <v>1</v>
      </c>
      <c r="C8" s="3" t="s">
        <v>2</v>
      </c>
      <c r="D8" s="3" t="s">
        <v>3</v>
      </c>
      <c r="E8" s="4" t="s">
        <v>4</v>
      </c>
      <c r="F8" s="5" t="s">
        <v>5</v>
      </c>
      <c r="G8" s="25" t="s">
        <v>29</v>
      </c>
    </row>
    <row r="9" spans="1:7" ht="18" x14ac:dyDescent="0.25">
      <c r="A9" s="54" t="s">
        <v>6</v>
      </c>
      <c r="B9" s="55"/>
      <c r="C9" s="55"/>
      <c r="D9" s="55"/>
      <c r="E9" s="55"/>
      <c r="F9" s="55"/>
      <c r="G9" s="55"/>
    </row>
    <row r="10" spans="1:7" ht="30" x14ac:dyDescent="0.25">
      <c r="A10" s="6">
        <v>1</v>
      </c>
      <c r="B10" s="7" t="s">
        <v>7</v>
      </c>
      <c r="C10" s="8" t="s">
        <v>8</v>
      </c>
      <c r="D10" s="9">
        <f>34.45-(0.05*25.29)</f>
        <v>33.185500000000005</v>
      </c>
      <c r="E10" s="10">
        <v>10500</v>
      </c>
      <c r="F10" s="26">
        <f>+D10*E10</f>
        <v>348447.75000000006</v>
      </c>
      <c r="G10" s="30" t="s">
        <v>31</v>
      </c>
    </row>
    <row r="11" spans="1:7" ht="30" x14ac:dyDescent="0.25">
      <c r="A11" s="13">
        <v>2</v>
      </c>
      <c r="B11" s="14" t="s">
        <v>9</v>
      </c>
      <c r="C11" s="8" t="s">
        <v>8</v>
      </c>
      <c r="D11" s="9">
        <f>12.87-(17.44*0.05)</f>
        <v>11.997999999999999</v>
      </c>
      <c r="E11" s="10">
        <f>+E10</f>
        <v>10500</v>
      </c>
      <c r="F11" s="26">
        <f t="shared" ref="F11:F13" si="0">+D11*E11</f>
        <v>125979</v>
      </c>
      <c r="G11" s="30" t="s">
        <v>31</v>
      </c>
    </row>
    <row r="12" spans="1:7" ht="30" x14ac:dyDescent="0.25">
      <c r="A12" s="13">
        <v>3</v>
      </c>
      <c r="B12" s="14" t="s">
        <v>10</v>
      </c>
      <c r="C12" s="8" t="s">
        <v>8</v>
      </c>
      <c r="D12" s="9">
        <f>+(6.05+7.47)</f>
        <v>13.52</v>
      </c>
      <c r="E12" s="10">
        <v>11500</v>
      </c>
      <c r="F12" s="26">
        <f t="shared" si="0"/>
        <v>155480</v>
      </c>
      <c r="G12" s="31" t="s">
        <v>32</v>
      </c>
    </row>
    <row r="13" spans="1:7" ht="30" x14ac:dyDescent="0.25">
      <c r="A13" s="13">
        <v>4</v>
      </c>
      <c r="B13" s="14" t="s">
        <v>11</v>
      </c>
      <c r="C13" s="8" t="s">
        <v>8</v>
      </c>
      <c r="D13" s="9">
        <v>11.34</v>
      </c>
      <c r="E13" s="10">
        <f>+E10</f>
        <v>10500</v>
      </c>
      <c r="F13" s="26">
        <f t="shared" si="0"/>
        <v>119070</v>
      </c>
      <c r="G13" s="29" t="s">
        <v>30</v>
      </c>
    </row>
    <row r="14" spans="1:7" ht="32.25" customHeight="1" x14ac:dyDescent="0.25">
      <c r="A14" s="32">
        <v>5</v>
      </c>
      <c r="B14" s="33" t="s">
        <v>12</v>
      </c>
      <c r="C14" s="34" t="s">
        <v>8</v>
      </c>
      <c r="D14" s="35">
        <v>3.27</v>
      </c>
      <c r="E14" s="36">
        <f>+E12</f>
        <v>11500</v>
      </c>
      <c r="F14" s="37">
        <f>+D14*E14</f>
        <v>37605</v>
      </c>
      <c r="G14" s="31" t="s">
        <v>32</v>
      </c>
    </row>
    <row r="15" spans="1:7" ht="32.25" customHeight="1" x14ac:dyDescent="0.25">
      <c r="A15" s="38">
        <v>6</v>
      </c>
      <c r="B15" s="39" t="s">
        <v>33</v>
      </c>
      <c r="C15" s="40" t="s">
        <v>34</v>
      </c>
      <c r="D15" s="41">
        <f>+[4]COTATION!$C$7+[4]COTATION!$C$9</f>
        <v>43.58</v>
      </c>
      <c r="E15" s="42">
        <v>4500</v>
      </c>
      <c r="F15" s="43">
        <f>+E15*D15</f>
        <v>196110</v>
      </c>
      <c r="G15" s="44" t="s">
        <v>35</v>
      </c>
    </row>
    <row r="16" spans="1:7" ht="18" x14ac:dyDescent="0.25">
      <c r="A16" s="54" t="s">
        <v>13</v>
      </c>
      <c r="B16" s="55"/>
      <c r="C16" s="55"/>
      <c r="D16" s="55"/>
      <c r="E16" s="55"/>
      <c r="F16" s="55"/>
      <c r="G16" s="55"/>
    </row>
    <row r="17" spans="1:12" ht="30" x14ac:dyDescent="0.25">
      <c r="A17" s="6">
        <v>1</v>
      </c>
      <c r="B17" s="7" t="s">
        <v>14</v>
      </c>
      <c r="C17" s="8" t="s">
        <v>8</v>
      </c>
      <c r="D17" s="9">
        <f>15.65-(17.43*0.05)</f>
        <v>14.778500000000001</v>
      </c>
      <c r="E17" s="10">
        <f>+E10</f>
        <v>10500</v>
      </c>
      <c r="F17" s="26">
        <f>+D17*E17</f>
        <v>155174.25</v>
      </c>
      <c r="G17" s="30" t="s">
        <v>31</v>
      </c>
    </row>
    <row r="18" spans="1:12" ht="30" x14ac:dyDescent="0.25">
      <c r="A18" s="13">
        <v>2</v>
      </c>
      <c r="B18" s="14" t="s">
        <v>15</v>
      </c>
      <c r="C18" s="15" t="s">
        <v>8</v>
      </c>
      <c r="D18" s="9">
        <f>14.94-(0.05*16.4)</f>
        <v>14.12</v>
      </c>
      <c r="E18" s="10">
        <f>+E10</f>
        <v>10500</v>
      </c>
      <c r="F18" s="26">
        <f t="shared" ref="F18:F24" si="1">+D18*E18</f>
        <v>148260</v>
      </c>
      <c r="G18" s="30" t="s">
        <v>31</v>
      </c>
    </row>
    <row r="19" spans="1:12" ht="30" x14ac:dyDescent="0.25">
      <c r="A19" s="13">
        <v>3</v>
      </c>
      <c r="B19" s="14" t="s">
        <v>16</v>
      </c>
      <c r="C19" s="15" t="s">
        <v>8</v>
      </c>
      <c r="D19" s="9">
        <f>12.94-(17.53*0.05)</f>
        <v>12.063499999999999</v>
      </c>
      <c r="E19" s="10">
        <f>+E10</f>
        <v>10500</v>
      </c>
      <c r="F19" s="26">
        <f t="shared" si="1"/>
        <v>126666.75</v>
      </c>
      <c r="G19" s="30" t="s">
        <v>31</v>
      </c>
    </row>
    <row r="20" spans="1:12" ht="32.25" customHeight="1" x14ac:dyDescent="0.25">
      <c r="A20" s="13">
        <v>4</v>
      </c>
      <c r="B20" s="14" t="s">
        <v>17</v>
      </c>
      <c r="C20" s="15" t="s">
        <v>8</v>
      </c>
      <c r="D20" s="9">
        <v>14.92</v>
      </c>
      <c r="E20" s="10">
        <f>+E10</f>
        <v>10500</v>
      </c>
      <c r="F20" s="26">
        <f t="shared" si="1"/>
        <v>156660</v>
      </c>
      <c r="G20" s="29" t="s">
        <v>30</v>
      </c>
    </row>
    <row r="21" spans="1:12" ht="32.25" customHeight="1" x14ac:dyDescent="0.25">
      <c r="A21" s="13">
        <v>5</v>
      </c>
      <c r="B21" s="14" t="s">
        <v>18</v>
      </c>
      <c r="C21" s="15" t="s">
        <v>8</v>
      </c>
      <c r="D21" s="9">
        <v>4.04</v>
      </c>
      <c r="E21" s="10">
        <f>+E12</f>
        <v>11500</v>
      </c>
      <c r="F21" s="26">
        <f t="shared" si="1"/>
        <v>46460</v>
      </c>
      <c r="G21" s="31" t="s">
        <v>32</v>
      </c>
    </row>
    <row r="22" spans="1:12" ht="30" x14ac:dyDescent="0.25">
      <c r="A22" s="13">
        <v>6</v>
      </c>
      <c r="B22" s="14" t="s">
        <v>19</v>
      </c>
      <c r="C22" s="15" t="s">
        <v>8</v>
      </c>
      <c r="D22" s="9">
        <v>3.67</v>
      </c>
      <c r="E22" s="10">
        <f>+E12</f>
        <v>11500</v>
      </c>
      <c r="F22" s="26">
        <f t="shared" si="1"/>
        <v>42205</v>
      </c>
      <c r="G22" s="31" t="s">
        <v>32</v>
      </c>
    </row>
    <row r="23" spans="1:12" ht="30" x14ac:dyDescent="0.25">
      <c r="A23" s="13">
        <v>7</v>
      </c>
      <c r="B23" s="14" t="s">
        <v>20</v>
      </c>
      <c r="C23" s="15" t="s">
        <v>8</v>
      </c>
      <c r="D23" s="9">
        <v>3.31</v>
      </c>
      <c r="E23" s="10">
        <f>+E12</f>
        <v>11500</v>
      </c>
      <c r="F23" s="26">
        <f t="shared" si="1"/>
        <v>38065</v>
      </c>
      <c r="G23" s="31" t="s">
        <v>32</v>
      </c>
    </row>
    <row r="24" spans="1:12" ht="36.75" customHeight="1" x14ac:dyDescent="0.25">
      <c r="A24" s="13">
        <v>8</v>
      </c>
      <c r="B24" s="14" t="s">
        <v>21</v>
      </c>
      <c r="C24" s="15" t="s">
        <v>8</v>
      </c>
      <c r="D24" s="9">
        <f>4.74-(9.03*0.05)</f>
        <v>4.2885</v>
      </c>
      <c r="E24" s="10">
        <f>+E10</f>
        <v>10500</v>
      </c>
      <c r="F24" s="26">
        <f t="shared" si="1"/>
        <v>45029.25</v>
      </c>
      <c r="G24" s="30" t="s">
        <v>31</v>
      </c>
      <c r="K24" s="16"/>
    </row>
    <row r="25" spans="1:12" ht="36" x14ac:dyDescent="0.25">
      <c r="A25" s="38">
        <v>6</v>
      </c>
      <c r="B25" s="39" t="s">
        <v>33</v>
      </c>
      <c r="C25" s="40" t="s">
        <v>34</v>
      </c>
      <c r="D25" s="41">
        <f>+[4]COTATION!$C$18+[4]COTATION!$C$20+[4]COTATION!$C$21+[4]COTATION!$C$22</f>
        <v>59.95</v>
      </c>
      <c r="E25" s="42">
        <v>4500</v>
      </c>
      <c r="F25" s="43">
        <f>+E25*D25</f>
        <v>269775</v>
      </c>
      <c r="G25" s="44" t="s">
        <v>35</v>
      </c>
    </row>
    <row r="26" spans="1:12" ht="18" x14ac:dyDescent="0.25">
      <c r="A26" s="20">
        <v>9</v>
      </c>
      <c r="B26" s="21" t="s">
        <v>22</v>
      </c>
      <c r="C26" s="22" t="s">
        <v>8</v>
      </c>
      <c r="D26" s="23">
        <f>5.43*1.95</f>
        <v>10.5885</v>
      </c>
      <c r="E26" s="24">
        <v>12000</v>
      </c>
      <c r="F26" s="28">
        <f>+D26*E26</f>
        <v>127062</v>
      </c>
      <c r="G26" s="59" t="s">
        <v>27</v>
      </c>
      <c r="K26" s="17"/>
    </row>
    <row r="27" spans="1:12" ht="18" x14ac:dyDescent="0.25">
      <c r="A27" s="20">
        <v>10</v>
      </c>
      <c r="B27" s="21" t="s">
        <v>23</v>
      </c>
      <c r="C27" s="22" t="s">
        <v>8</v>
      </c>
      <c r="D27" s="23">
        <f>4.95*1.8</f>
        <v>8.91</v>
      </c>
      <c r="E27" s="24">
        <v>12000</v>
      </c>
      <c r="F27" s="28">
        <f>+D27*E27</f>
        <v>106920</v>
      </c>
      <c r="G27" s="60"/>
      <c r="J27" s="17"/>
    </row>
    <row r="28" spans="1:12" ht="26.25" customHeight="1" x14ac:dyDescent="0.25">
      <c r="A28" s="20">
        <v>11</v>
      </c>
      <c r="B28" s="21" t="s">
        <v>24</v>
      </c>
      <c r="C28" s="22" t="s">
        <v>8</v>
      </c>
      <c r="D28" s="23">
        <f>0.53*12.59*2</f>
        <v>13.3454</v>
      </c>
      <c r="E28" s="24">
        <v>12000</v>
      </c>
      <c r="F28" s="28">
        <f>+D28*E28</f>
        <v>160144.79999999999</v>
      </c>
      <c r="G28" s="61"/>
    </row>
    <row r="29" spans="1:12" ht="18" x14ac:dyDescent="0.25">
      <c r="A29" s="56" t="s">
        <v>25</v>
      </c>
      <c r="B29" s="57"/>
      <c r="C29" s="58"/>
      <c r="D29" s="18">
        <f>SUM(D10:D28)</f>
        <v>280.87790000000001</v>
      </c>
      <c r="E29" s="45"/>
      <c r="F29" s="37">
        <f>+F10+F11+F12+F13+F14+F17+F18+F19+F20+F21+F22+F23+F24+F26+F27+F28+F25+F15</f>
        <v>2405113.7999999998</v>
      </c>
      <c r="G29" s="27"/>
      <c r="L29" s="16"/>
    </row>
    <row r="30" spans="1:12" ht="18" x14ac:dyDescent="0.25">
      <c r="E30" s="46" t="s">
        <v>36</v>
      </c>
      <c r="F30" s="47">
        <f>+F29*18%</f>
        <v>432920.48399999994</v>
      </c>
    </row>
    <row r="31" spans="1:12" ht="33" customHeight="1" x14ac:dyDescent="0.25">
      <c r="B31" s="19"/>
      <c r="E31" s="46" t="s">
        <v>37</v>
      </c>
      <c r="F31" s="47">
        <f>+F30+F29</f>
        <v>2838034.284</v>
      </c>
    </row>
    <row r="32" spans="1:12" ht="33" customHeight="1" x14ac:dyDescent="0.25">
      <c r="B32" s="19"/>
      <c r="E32" s="48"/>
      <c r="F32" s="49"/>
    </row>
    <row r="33" spans="1:8" x14ac:dyDescent="0.25">
      <c r="A33" s="53" t="s">
        <v>28</v>
      </c>
      <c r="B33" s="53"/>
      <c r="C33" s="53"/>
      <c r="D33" s="53"/>
      <c r="E33" s="53"/>
      <c r="F33" s="53"/>
      <c r="H33" s="16"/>
    </row>
    <row r="37" spans="1:8" x14ac:dyDescent="0.25">
      <c r="H37" s="16"/>
    </row>
  </sheetData>
  <mergeCells count="7">
    <mergeCell ref="A33:F33"/>
    <mergeCell ref="E1:F1"/>
    <mergeCell ref="A5:F5"/>
    <mergeCell ref="A29:C29"/>
    <mergeCell ref="A9:G9"/>
    <mergeCell ref="A16:G16"/>
    <mergeCell ref="G26:G28"/>
  </mergeCells>
  <pageMargins left="0.70866141732283516" right="0.70866141732283516" top="0.74803149606299213" bottom="0.74803149606299213" header="0.31496062992126012" footer="0.31496062992126012"/>
  <pageSetup paperSize="9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RECCAP</vt:lpstr>
      <vt:lpstr>Récap Désign</vt:lpstr>
      <vt:lpstr>COMMANDE_POUR_LA_COUVERTURE 4P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JAWAD</cp:lastModifiedBy>
  <cp:lastPrinted>2021-03-10T15:49:16Z</cp:lastPrinted>
  <dcterms:created xsi:type="dcterms:W3CDTF">2020-12-16T19:08:48Z</dcterms:created>
  <dcterms:modified xsi:type="dcterms:W3CDTF">2021-03-17T15:48:49Z</dcterms:modified>
</cp:coreProperties>
</file>