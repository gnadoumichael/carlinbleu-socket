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ARTEMIS PROJET CALISTO ETOILE\Etude estimative\"/>
    </mc:Choice>
  </mc:AlternateContent>
  <bookViews>
    <workbookView xWindow="0" yWindow="0" windowWidth="20490" windowHeight="7755" firstSheet="2" activeTab="4"/>
  </bookViews>
  <sheets>
    <sheet name="COTATION" sheetId="1" r:id="rId1"/>
    <sheet name="MATERIELS" sheetId="2" r:id="rId2"/>
    <sheet name="Etimatifs Matériel Joints Creux" sheetId="3" r:id="rId3"/>
    <sheet name="Récap détaillé Matériel Chiffré" sheetId="4" r:id="rId4"/>
    <sheet name="Récap Générale Matériels" sheetId="5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4" l="1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3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3" i="4"/>
  <c r="D33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I3" i="2"/>
  <c r="D3" i="2"/>
  <c r="D14" i="3"/>
  <c r="F12" i="1"/>
  <c r="B26" i="1"/>
  <c r="B28" i="1" s="1"/>
  <c r="B13" i="1"/>
  <c r="D51" i="2" l="1"/>
  <c r="D52" i="2" s="1"/>
  <c r="D55" i="2" s="1"/>
  <c r="D57" i="2" s="1"/>
  <c r="D58" i="2" s="1"/>
  <c r="D59" i="2" s="1"/>
  <c r="F11" i="1" l="1"/>
  <c r="F10" i="1"/>
  <c r="G10" i="1" l="1"/>
  <c r="D7" i="3" l="1"/>
  <c r="D13" i="3"/>
  <c r="D12" i="3"/>
  <c r="D11" i="3"/>
  <c r="D10" i="3"/>
  <c r="D9" i="3"/>
  <c r="D8" i="3"/>
  <c r="D6" i="3"/>
  <c r="D15" i="3" l="1"/>
  <c r="D18" i="3" s="1"/>
  <c r="D22" i="3"/>
  <c r="N3" i="2"/>
  <c r="N14" i="2"/>
  <c r="N13" i="2"/>
  <c r="N12" i="2"/>
  <c r="N11" i="2"/>
  <c r="N10" i="2"/>
  <c r="N9" i="2"/>
  <c r="N8" i="2"/>
  <c r="N7" i="2"/>
  <c r="N6" i="2"/>
  <c r="N5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N15" i="2" l="1"/>
  <c r="N16" i="2" s="1"/>
  <c r="N19" i="2" s="1"/>
  <c r="N21" i="2" s="1"/>
  <c r="N22" i="2" s="1"/>
  <c r="N23" i="2" s="1"/>
  <c r="I21" i="2"/>
  <c r="I22" i="2" s="1"/>
  <c r="I25" i="2" s="1"/>
  <c r="I27" i="2" s="1"/>
  <c r="I28" i="2" s="1"/>
  <c r="I29" i="2" s="1"/>
  <c r="D16" i="2" l="1"/>
  <c r="D17" i="2"/>
  <c r="D6" i="2" l="1"/>
  <c r="D7" i="2"/>
  <c r="D8" i="2"/>
  <c r="D9" i="2"/>
  <c r="D10" i="2"/>
  <c r="D11" i="2"/>
  <c r="D12" i="2"/>
  <c r="D13" i="2"/>
  <c r="D14" i="2"/>
  <c r="D15" i="2"/>
  <c r="D18" i="2"/>
  <c r="D19" i="2"/>
  <c r="D20" i="2"/>
  <c r="D5" i="2"/>
  <c r="D21" i="2" l="1"/>
  <c r="D22" i="2" s="1"/>
  <c r="D25" i="2" s="1"/>
  <c r="D27" i="2" s="1"/>
  <c r="D28" i="2" s="1"/>
  <c r="D29" i="2" s="1"/>
  <c r="C26" i="1"/>
  <c r="C12" i="1"/>
  <c r="C13" i="1" l="1"/>
</calcChain>
</file>

<file path=xl/sharedStrings.xml><?xml version="1.0" encoding="utf-8"?>
<sst xmlns="http://schemas.openxmlformats.org/spreadsheetml/2006/main" count="282" uniqueCount="79">
  <si>
    <t>PLANS ARCHI CALLISTO ETOILE RDC</t>
  </si>
  <si>
    <t>PIÈCES</t>
  </si>
  <si>
    <t>M²</t>
  </si>
  <si>
    <t>ML</t>
  </si>
  <si>
    <t>CHAMBRE</t>
  </si>
  <si>
    <t>SE</t>
  </si>
  <si>
    <t>SEJOUR/SAM</t>
  </si>
  <si>
    <t>CUISINE</t>
  </si>
  <si>
    <t>ESCALIER</t>
  </si>
  <si>
    <t>TOTAL</t>
  </si>
  <si>
    <t>PLANS ARCHI CALLISTO ETOILE ETAGE</t>
  </si>
  <si>
    <t>CHAMBRE 1</t>
  </si>
  <si>
    <t>DRESSING</t>
  </si>
  <si>
    <t>CHAMBRE 2</t>
  </si>
  <si>
    <t>BALCON 1</t>
  </si>
  <si>
    <t>BALCON 2</t>
  </si>
  <si>
    <t>TERRASSE 1</t>
  </si>
  <si>
    <t>TERRASSE 2</t>
  </si>
  <si>
    <t>MATERIELS</t>
  </si>
  <si>
    <t>QUANTITÉ</t>
  </si>
  <si>
    <t>PRIX U.</t>
  </si>
  <si>
    <t>CORNIERE</t>
  </si>
  <si>
    <t>CHEVILLE A FRAPPER x30</t>
  </si>
  <si>
    <t>FOURRURES</t>
  </si>
  <si>
    <t>CHEVILLE LAITON</t>
  </si>
  <si>
    <t>SUSPENTES ARTICULÉE</t>
  </si>
  <si>
    <t>TIGE 1M</t>
  </si>
  <si>
    <t>TIGE 2M</t>
  </si>
  <si>
    <t>PIVOT</t>
  </si>
  <si>
    <t>ECLISSE</t>
  </si>
  <si>
    <t>VIS AUTO</t>
  </si>
  <si>
    <t>PLAQUE HYDRO</t>
  </si>
  <si>
    <t>VIS 25</t>
  </si>
  <si>
    <t>ENDUIT</t>
  </si>
  <si>
    <t>BANDE A JOINT</t>
  </si>
  <si>
    <t>CORNIERE PERFORÉE</t>
  </si>
  <si>
    <t>MONTANT HT</t>
  </si>
  <si>
    <t>TOTAL HT</t>
  </si>
  <si>
    <t>Estmation/M²</t>
  </si>
  <si>
    <t>Estmation MO/M²</t>
  </si>
  <si>
    <t>Divers/M²</t>
  </si>
  <si>
    <t>Total Estimatif/M²</t>
  </si>
  <si>
    <t>Estimatif Vente/M²</t>
  </si>
  <si>
    <t>Marge/M²</t>
  </si>
  <si>
    <t>Marge Totale 1 Villa</t>
  </si>
  <si>
    <t>PLAQUE standard</t>
  </si>
  <si>
    <t>Faux Plafond Standard Sans Joint Creux</t>
  </si>
  <si>
    <t>Surface (m²)</t>
  </si>
  <si>
    <t>Total</t>
  </si>
  <si>
    <t>Marge Totale 56 Villa de 400m²</t>
  </si>
  <si>
    <t>Faux Plafond Hydro Sans Joint Creux</t>
  </si>
  <si>
    <t>Faux Plafond LAMBRIS PVC BALCONS</t>
  </si>
  <si>
    <t>Languette PVC/Unité</t>
  </si>
  <si>
    <t>Lambris PVC/M²</t>
  </si>
  <si>
    <t>Les zones avec Joints Creux</t>
  </si>
  <si>
    <t>Matériels Joints Creux</t>
  </si>
  <si>
    <t>Montants 48</t>
  </si>
  <si>
    <t>Longueurs</t>
  </si>
  <si>
    <t>Bande armée</t>
  </si>
  <si>
    <t>Estmation/Ml</t>
  </si>
  <si>
    <t>Estmation MO/ml</t>
  </si>
  <si>
    <t>Total Estimatif/Ml</t>
  </si>
  <si>
    <t>Surfaces Sans JC</t>
  </si>
  <si>
    <t>Surfaces avec JC</t>
  </si>
  <si>
    <t>Linéraires de JC</t>
  </si>
  <si>
    <t>CHAMBRE 3</t>
  </si>
  <si>
    <t>SE1</t>
  </si>
  <si>
    <t>SE 2</t>
  </si>
  <si>
    <t>SE 3</t>
  </si>
  <si>
    <t>RECAP GENERALE MATERIEL CALLISTO</t>
  </si>
  <si>
    <t>Bande armées</t>
  </si>
  <si>
    <t>Montant 48</t>
  </si>
  <si>
    <t>Total Matériel HT</t>
  </si>
  <si>
    <t>Est Mat/M²</t>
  </si>
  <si>
    <t>M/O Plaquiste</t>
  </si>
  <si>
    <t>??</t>
  </si>
  <si>
    <t>M/O Jointeur 58*350 + 86*500</t>
  </si>
  <si>
    <t>Projet: CALLISTO</t>
  </si>
  <si>
    <t>Faux Plafond Plat Standard Dans les zones à joints Creux Joint Creux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</si>
</sst>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43" fontId="5" fillId="0" borderId="0" applyFon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0" fillId="0" borderId="1" xfId="0" applyBorder="1"/>
    <xf numFmtId="0" fontId="3" fillId="5" borderId="1" xfId="1" applyBorder="1" applyAlignment="1">
      <alignment horizontal="center"/>
    </xf>
    <xf numFmtId="4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0" fillId="6" borderId="0" xfId="0" applyFill="1"/>
    <xf numFmtId="0" fontId="0" fillId="7" borderId="0" xfId="0" applyFill="1"/>
    <xf numFmtId="0" fontId="6" fillId="0" borderId="1" xfId="0" applyFont="1" applyBorder="1"/>
    <xf numFmtId="4" fontId="4" fillId="0" borderId="1" xfId="0" applyNumberFormat="1" applyFont="1" applyBorder="1"/>
    <xf numFmtId="43" fontId="0" fillId="0" borderId="1" xfId="2" applyFont="1" applyFill="1" applyBorder="1"/>
    <xf numFmtId="43" fontId="0" fillId="0" borderId="1" xfId="2" applyFont="1" applyBorder="1"/>
    <xf numFmtId="43" fontId="0" fillId="0" borderId="1" xfId="0" applyNumberFormat="1" applyBorder="1"/>
    <xf numFmtId="0" fontId="7" fillId="0" borderId="0" xfId="0" applyFont="1" applyAlignment="1">
      <alignment horizontal="right"/>
    </xf>
    <xf numFmtId="0" fontId="8" fillId="0" borderId="0" xfId="0" applyFont="1"/>
    <xf numFmtId="164" fontId="6" fillId="0" borderId="1" xfId="2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6" fillId="6" borderId="0" xfId="0" applyFont="1" applyFill="1"/>
    <xf numFmtId="0" fontId="0" fillId="8" borderId="0" xfId="0" applyFill="1"/>
    <xf numFmtId="0" fontId="0" fillId="0" borderId="1" xfId="0" applyFill="1" applyBorder="1"/>
    <xf numFmtId="4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</cellXfs>
  <cellStyles count="3">
    <cellStyle name="Accent1" xfId="1" builtinId="29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WAD/Desktop/PARTAGE%20ECM/ARTEMIS%20PROJET%20CALISTO%20ETOILE/DQE%20FAUX%20PLAFOND%2056%20VILLAS%20SUR%20400%20M&#1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CAP"/>
      <sheetName val="Récap Désign"/>
      <sheetName val="COMMANDE_POUR_LA_COUVERTURE 4P"/>
    </sheetNames>
    <sheetDataSet>
      <sheetData sheetId="0"/>
      <sheetData sheetId="1"/>
      <sheetData sheetId="2">
        <row r="26">
          <cell r="D26">
            <v>10.5885</v>
          </cell>
        </row>
        <row r="27">
          <cell r="D27">
            <v>8.91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2"/>
  <sheetViews>
    <sheetView topLeftCell="A4" workbookViewId="0">
      <selection activeCell="B10" sqref="B10"/>
    </sheetView>
  </sheetViews>
  <sheetFormatPr baseColWidth="10" defaultRowHeight="15" x14ac:dyDescent="0.25"/>
  <cols>
    <col min="1" max="1" width="31.42578125" customWidth="1"/>
    <col min="2" max="2" width="23.28515625" customWidth="1"/>
    <col min="3" max="3" width="40.28515625" customWidth="1"/>
    <col min="5" max="5" width="23.5703125" customWidth="1"/>
  </cols>
  <sheetData>
    <row r="5" spans="1:7" ht="21" x14ac:dyDescent="0.35">
      <c r="A5" s="24" t="s">
        <v>0</v>
      </c>
      <c r="B5" s="25"/>
      <c r="C5" s="25"/>
    </row>
    <row r="6" spans="1:7" x14ac:dyDescent="0.25">
      <c r="A6" s="1" t="s">
        <v>1</v>
      </c>
      <c r="B6" s="1" t="s">
        <v>2</v>
      </c>
      <c r="C6" s="1" t="s">
        <v>3</v>
      </c>
    </row>
    <row r="7" spans="1:7" x14ac:dyDescent="0.25">
      <c r="A7" s="8" t="s">
        <v>4</v>
      </c>
      <c r="B7" s="8">
        <v>12</v>
      </c>
      <c r="C7" s="8">
        <v>18.32</v>
      </c>
      <c r="E7" s="19" t="s">
        <v>54</v>
      </c>
      <c r="F7" s="8"/>
      <c r="G7" s="8"/>
    </row>
    <row r="8" spans="1:7" x14ac:dyDescent="0.25">
      <c r="A8" s="9" t="s">
        <v>5</v>
      </c>
      <c r="B8" s="9">
        <v>3.27</v>
      </c>
      <c r="C8" s="9">
        <v>7.63</v>
      </c>
    </row>
    <row r="9" spans="1:7" x14ac:dyDescent="0.25">
      <c r="A9" s="8" t="s">
        <v>6</v>
      </c>
      <c r="B9" s="8">
        <v>33.19</v>
      </c>
      <c r="C9" s="8">
        <v>25.26</v>
      </c>
    </row>
    <row r="10" spans="1:7" x14ac:dyDescent="0.25">
      <c r="A10" s="20" t="s">
        <v>7</v>
      </c>
      <c r="B10" s="20">
        <v>11.34</v>
      </c>
      <c r="C10" s="20">
        <v>13.5</v>
      </c>
      <c r="E10" t="s">
        <v>62</v>
      </c>
      <c r="F10" t="e">
        <f>+B8+B10+B25+B19+B23+B24+B31+B32+#REF!</f>
        <v>#REF!</v>
      </c>
      <c r="G10" s="26" t="e">
        <f>+F10+F11</f>
        <v>#REF!</v>
      </c>
    </row>
    <row r="11" spans="1:7" x14ac:dyDescent="0.25">
      <c r="A11" s="9" t="s">
        <v>16</v>
      </c>
      <c r="B11" s="9">
        <v>7.47</v>
      </c>
      <c r="C11" s="9">
        <v>11.33</v>
      </c>
      <c r="E11" t="s">
        <v>63</v>
      </c>
      <c r="F11">
        <f>+B7+B9+B18+B20+B21+B22</f>
        <v>90.440000000000012</v>
      </c>
      <c r="G11" s="26"/>
    </row>
    <row r="12" spans="1:7" x14ac:dyDescent="0.25">
      <c r="A12" s="9" t="s">
        <v>17</v>
      </c>
      <c r="B12" s="9">
        <v>6.3</v>
      </c>
      <c r="C12" s="9">
        <f>+B12*2</f>
        <v>12.6</v>
      </c>
      <c r="E12" t="s">
        <v>64</v>
      </c>
      <c r="F12">
        <f>+C7+C9+C18+C20+C22</f>
        <v>95.53</v>
      </c>
    </row>
    <row r="13" spans="1:7" x14ac:dyDescent="0.25">
      <c r="A13" s="2" t="s">
        <v>9</v>
      </c>
      <c r="B13" s="3">
        <f>SUM(B7:B12)</f>
        <v>73.569999999999993</v>
      </c>
      <c r="C13" s="3">
        <f ca="1">SUM(C7:C25)</f>
        <v>99.1</v>
      </c>
    </row>
    <row r="16" spans="1:7" ht="21" x14ac:dyDescent="0.35">
      <c r="A16" s="24" t="s">
        <v>10</v>
      </c>
      <c r="B16" s="25"/>
      <c r="C16" s="25"/>
    </row>
    <row r="17" spans="1:3" x14ac:dyDescent="0.25">
      <c r="A17" s="1" t="s">
        <v>1</v>
      </c>
      <c r="B17" s="1" t="s">
        <v>2</v>
      </c>
      <c r="C17" s="1" t="s">
        <v>3</v>
      </c>
    </row>
    <row r="18" spans="1:3" x14ac:dyDescent="0.25">
      <c r="A18" s="8" t="s">
        <v>11</v>
      </c>
      <c r="B18" s="8">
        <v>14.78</v>
      </c>
      <c r="C18" s="8">
        <v>16.46</v>
      </c>
    </row>
    <row r="19" spans="1:3" x14ac:dyDescent="0.25">
      <c r="A19" s="9" t="s">
        <v>66</v>
      </c>
      <c r="B19" s="9">
        <v>4.04</v>
      </c>
      <c r="C19" s="9">
        <v>8.5299999999999994</v>
      </c>
    </row>
    <row r="20" spans="1:3" x14ac:dyDescent="0.25">
      <c r="A20" s="8" t="s">
        <v>13</v>
      </c>
      <c r="B20" s="8">
        <v>14.12</v>
      </c>
      <c r="C20" s="8">
        <v>17.489999999999998</v>
      </c>
    </row>
    <row r="21" spans="1:3" x14ac:dyDescent="0.25">
      <c r="A21" s="20" t="s">
        <v>12</v>
      </c>
      <c r="B21" s="20">
        <v>4.29</v>
      </c>
      <c r="C21" s="20">
        <v>8</v>
      </c>
    </row>
    <row r="22" spans="1:3" x14ac:dyDescent="0.25">
      <c r="A22" s="8" t="s">
        <v>65</v>
      </c>
      <c r="B22" s="8">
        <v>12.06</v>
      </c>
      <c r="C22" s="8">
        <v>18</v>
      </c>
    </row>
    <row r="23" spans="1:3" x14ac:dyDescent="0.25">
      <c r="A23" s="9" t="s">
        <v>67</v>
      </c>
      <c r="B23" s="9">
        <v>3.67</v>
      </c>
      <c r="C23" s="9">
        <v>8.27</v>
      </c>
    </row>
    <row r="24" spans="1:3" x14ac:dyDescent="0.25">
      <c r="A24" s="9" t="s">
        <v>68</v>
      </c>
      <c r="B24" s="9">
        <v>3.31</v>
      </c>
      <c r="C24" s="9">
        <v>7.63</v>
      </c>
    </row>
    <row r="25" spans="1:3" x14ac:dyDescent="0.25">
      <c r="A25" s="20" t="s">
        <v>8</v>
      </c>
      <c r="B25" s="20">
        <v>14.92</v>
      </c>
      <c r="C25" s="20">
        <v>12.4</v>
      </c>
    </row>
    <row r="26" spans="1:3" x14ac:dyDescent="0.25">
      <c r="A26" s="2" t="s">
        <v>9</v>
      </c>
      <c r="B26" s="3">
        <f>SUM(B18:B25)</f>
        <v>71.19</v>
      </c>
      <c r="C26" s="3">
        <f>SUM(C18:C25)</f>
        <v>96.78</v>
      </c>
    </row>
    <row r="28" spans="1:3" x14ac:dyDescent="0.25">
      <c r="A28" t="s">
        <v>48</v>
      </c>
      <c r="B28">
        <f>+B26+B13</f>
        <v>144.76</v>
      </c>
    </row>
    <row r="31" spans="1:3" x14ac:dyDescent="0.25">
      <c r="A31" t="s">
        <v>14</v>
      </c>
      <c r="B31" s="9">
        <v>4.9800000000000004</v>
      </c>
      <c r="C31">
        <v>10.25</v>
      </c>
    </row>
    <row r="32" spans="1:3" x14ac:dyDescent="0.25">
      <c r="A32" t="s">
        <v>15</v>
      </c>
      <c r="B32" s="9">
        <v>6.02</v>
      </c>
      <c r="C32">
        <v>11.49</v>
      </c>
    </row>
  </sheetData>
  <mergeCells count="3">
    <mergeCell ref="A5:C5"/>
    <mergeCell ref="A16:C16"/>
    <mergeCell ref="G10:G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9"/>
  <sheetViews>
    <sheetView workbookViewId="0">
      <selection activeCell="I23" sqref="I23"/>
    </sheetView>
  </sheetViews>
  <sheetFormatPr baseColWidth="10" defaultRowHeight="15" x14ac:dyDescent="0.25"/>
  <cols>
    <col min="1" max="1" width="22.7109375" bestFit="1" customWidth="1"/>
    <col min="2" max="2" width="10" bestFit="1" customWidth="1"/>
    <col min="3" max="3" width="19.5703125" bestFit="1" customWidth="1"/>
    <col min="4" max="4" width="16" bestFit="1" customWidth="1"/>
    <col min="6" max="6" width="22.7109375" bestFit="1" customWidth="1"/>
    <col min="8" max="8" width="18.5703125" bestFit="1" customWidth="1"/>
    <col min="9" max="9" width="14" bestFit="1" customWidth="1"/>
    <col min="11" max="11" width="22.7109375" bestFit="1" customWidth="1"/>
    <col min="13" max="13" width="18.5703125" bestFit="1" customWidth="1"/>
    <col min="14" max="14" width="14" bestFit="1" customWidth="1"/>
  </cols>
  <sheetData>
    <row r="2" spans="1:14" x14ac:dyDescent="0.25">
      <c r="A2" s="27" t="s">
        <v>46</v>
      </c>
      <c r="B2" s="28"/>
      <c r="C2" s="28"/>
      <c r="D2" s="29"/>
      <c r="F2" s="27" t="s">
        <v>50</v>
      </c>
      <c r="G2" s="28"/>
      <c r="H2" s="28"/>
      <c r="I2" s="29"/>
      <c r="K2" s="27" t="s">
        <v>51</v>
      </c>
      <c r="L2" s="28"/>
      <c r="M2" s="28"/>
      <c r="N2" s="29"/>
    </row>
    <row r="3" spans="1:14" x14ac:dyDescent="0.25">
      <c r="C3" s="15" t="s">
        <v>47</v>
      </c>
      <c r="D3" s="16">
        <f>+COTATION!B10+COTATION!B25+COTATION!B21</f>
        <v>30.549999999999997</v>
      </c>
      <c r="H3" s="15" t="s">
        <v>47</v>
      </c>
      <c r="I3" s="16">
        <f>+COTATION!B8+COTATION!B11+COTATION!B12+COTATION!B19+COTATION!B23+COTATION!B24</f>
        <v>28.06</v>
      </c>
      <c r="M3" s="15" t="s">
        <v>47</v>
      </c>
      <c r="N3" s="16">
        <f>+'[1]COMMANDE_POUR_LA_COUVERTURE 4P'!$D$26+'[1]COMMANDE_POUR_LA_COUVERTURE 4P'!$D$27</f>
        <v>19.4985</v>
      </c>
    </row>
    <row r="4" spans="1:14" x14ac:dyDescent="0.25">
      <c r="A4" s="5" t="s">
        <v>18</v>
      </c>
      <c r="B4" s="5" t="s">
        <v>19</v>
      </c>
      <c r="C4" s="5" t="s">
        <v>20</v>
      </c>
      <c r="D4" s="5" t="s">
        <v>36</v>
      </c>
      <c r="F4" s="5" t="s">
        <v>18</v>
      </c>
      <c r="G4" s="5" t="s">
        <v>19</v>
      </c>
      <c r="H4" s="5" t="s">
        <v>20</v>
      </c>
      <c r="I4" s="5" t="s">
        <v>36</v>
      </c>
      <c r="K4" s="5" t="s">
        <v>18</v>
      </c>
      <c r="L4" s="5" t="s">
        <v>19</v>
      </c>
      <c r="M4" s="5" t="s">
        <v>20</v>
      </c>
      <c r="N4" s="5" t="s">
        <v>36</v>
      </c>
    </row>
    <row r="5" spans="1:14" x14ac:dyDescent="0.25">
      <c r="A5" s="4" t="s">
        <v>21</v>
      </c>
      <c r="B5" s="4">
        <v>13</v>
      </c>
      <c r="C5" s="4">
        <v>910.68</v>
      </c>
      <c r="D5" s="6">
        <f>+B5*C5</f>
        <v>11838.84</v>
      </c>
      <c r="F5" s="4" t="s">
        <v>21</v>
      </c>
      <c r="G5" s="4">
        <v>20</v>
      </c>
      <c r="H5" s="4">
        <v>910.68</v>
      </c>
      <c r="I5" s="6">
        <f>+G5*H5</f>
        <v>18213.599999999999</v>
      </c>
      <c r="K5" s="4" t="s">
        <v>21</v>
      </c>
      <c r="L5" s="4">
        <v>10</v>
      </c>
      <c r="M5" s="4">
        <v>910.68</v>
      </c>
      <c r="N5" s="6">
        <f>+L5*M5</f>
        <v>9106.7999999999993</v>
      </c>
    </row>
    <row r="6" spans="1:14" x14ac:dyDescent="0.25">
      <c r="A6" s="4" t="s">
        <v>22</v>
      </c>
      <c r="B6" s="4">
        <v>5</v>
      </c>
      <c r="C6" s="7">
        <v>885</v>
      </c>
      <c r="D6" s="6">
        <f>B6*C6</f>
        <v>4425</v>
      </c>
      <c r="F6" s="4" t="s">
        <v>22</v>
      </c>
      <c r="G6" s="4">
        <v>7</v>
      </c>
      <c r="H6" s="7">
        <v>885</v>
      </c>
      <c r="I6" s="6">
        <f>G6*H6</f>
        <v>6195</v>
      </c>
      <c r="K6" s="4" t="s">
        <v>22</v>
      </c>
      <c r="L6" s="4">
        <v>4</v>
      </c>
      <c r="M6" s="7">
        <v>885</v>
      </c>
      <c r="N6" s="6">
        <f>L6*M6</f>
        <v>3540</v>
      </c>
    </row>
    <row r="7" spans="1:14" x14ac:dyDescent="0.25">
      <c r="A7" s="4" t="s">
        <v>23</v>
      </c>
      <c r="B7" s="4">
        <v>22</v>
      </c>
      <c r="C7" s="4">
        <v>1195</v>
      </c>
      <c r="D7" s="6">
        <f t="shared" ref="D7:D20" si="0">+B7*C7</f>
        <v>26290</v>
      </c>
      <c r="F7" s="4" t="s">
        <v>23</v>
      </c>
      <c r="G7" s="4">
        <v>20</v>
      </c>
      <c r="H7" s="4">
        <v>1195</v>
      </c>
      <c r="I7" s="6">
        <f t="shared" ref="I7:I20" si="1">+G7*H7</f>
        <v>23900</v>
      </c>
      <c r="K7" s="4" t="s">
        <v>23</v>
      </c>
      <c r="L7" s="4">
        <v>15</v>
      </c>
      <c r="M7" s="4">
        <v>1195</v>
      </c>
      <c r="N7" s="6">
        <f t="shared" ref="N7:N14" si="2">+L7*M7</f>
        <v>17925</v>
      </c>
    </row>
    <row r="8" spans="1:14" x14ac:dyDescent="0.25">
      <c r="A8" s="4" t="s">
        <v>24</v>
      </c>
      <c r="B8" s="4">
        <v>25</v>
      </c>
      <c r="C8" s="4">
        <v>109.32</v>
      </c>
      <c r="D8" s="6">
        <f t="shared" si="0"/>
        <v>2733</v>
      </c>
      <c r="F8" s="4" t="s">
        <v>24</v>
      </c>
      <c r="G8" s="4">
        <v>28</v>
      </c>
      <c r="H8" s="4">
        <v>109.32</v>
      </c>
      <c r="I8" s="6">
        <f t="shared" si="1"/>
        <v>3060.96</v>
      </c>
      <c r="K8" s="4" t="s">
        <v>25</v>
      </c>
      <c r="L8" s="4">
        <v>0</v>
      </c>
      <c r="M8" s="6">
        <v>182.2</v>
      </c>
      <c r="N8" s="6">
        <f t="shared" si="2"/>
        <v>0</v>
      </c>
    </row>
    <row r="9" spans="1:14" x14ac:dyDescent="0.25">
      <c r="A9" s="4" t="s">
        <v>25</v>
      </c>
      <c r="B9" s="4">
        <v>40</v>
      </c>
      <c r="C9" s="6">
        <v>182.2</v>
      </c>
      <c r="D9" s="6">
        <f t="shared" si="0"/>
        <v>7288</v>
      </c>
      <c r="F9" s="4" t="s">
        <v>25</v>
      </c>
      <c r="G9" s="4">
        <v>0</v>
      </c>
      <c r="H9" s="6">
        <v>182.2</v>
      </c>
      <c r="I9" s="6">
        <f t="shared" si="1"/>
        <v>0</v>
      </c>
      <c r="K9" s="4" t="s">
        <v>26</v>
      </c>
      <c r="L9" s="4">
        <v>0</v>
      </c>
      <c r="M9" s="4">
        <v>279.66000000000003</v>
      </c>
      <c r="N9" s="6">
        <f t="shared" si="2"/>
        <v>0</v>
      </c>
    </row>
    <row r="10" spans="1:14" x14ac:dyDescent="0.25">
      <c r="A10" s="4" t="s">
        <v>26</v>
      </c>
      <c r="B10" s="4">
        <v>12</v>
      </c>
      <c r="C10" s="4">
        <v>279.66000000000003</v>
      </c>
      <c r="D10" s="6">
        <f t="shared" si="0"/>
        <v>3355.92</v>
      </c>
      <c r="F10" s="4" t="s">
        <v>26</v>
      </c>
      <c r="G10" s="4">
        <v>14</v>
      </c>
      <c r="H10" s="4">
        <v>279.66000000000003</v>
      </c>
      <c r="I10" s="6">
        <f t="shared" si="1"/>
        <v>3915.2400000000002</v>
      </c>
      <c r="K10" s="4" t="s">
        <v>28</v>
      </c>
      <c r="L10" s="4">
        <v>0</v>
      </c>
      <c r="M10" s="4">
        <v>81.72</v>
      </c>
      <c r="N10" s="6">
        <f t="shared" si="2"/>
        <v>0</v>
      </c>
    </row>
    <row r="11" spans="1:14" x14ac:dyDescent="0.25">
      <c r="A11" s="4" t="s">
        <v>27</v>
      </c>
      <c r="B11" s="4">
        <v>38</v>
      </c>
      <c r="C11" s="4">
        <v>930</v>
      </c>
      <c r="D11" s="6">
        <f t="shared" si="0"/>
        <v>35340</v>
      </c>
      <c r="F11" s="4" t="s">
        <v>27</v>
      </c>
      <c r="G11" s="4">
        <v>0</v>
      </c>
      <c r="H11" s="4">
        <v>930</v>
      </c>
      <c r="I11" s="6">
        <f t="shared" si="1"/>
        <v>0</v>
      </c>
      <c r="K11" s="4" t="s">
        <v>30</v>
      </c>
      <c r="L11" s="4">
        <v>0.3</v>
      </c>
      <c r="M11" s="6">
        <v>6610.17</v>
      </c>
      <c r="N11" s="6">
        <f t="shared" si="2"/>
        <v>1983.0509999999999</v>
      </c>
    </row>
    <row r="12" spans="1:14" x14ac:dyDescent="0.25">
      <c r="A12" s="4" t="s">
        <v>28</v>
      </c>
      <c r="B12" s="4">
        <v>65</v>
      </c>
      <c r="C12" s="4">
        <v>81.72</v>
      </c>
      <c r="D12" s="6">
        <f t="shared" si="0"/>
        <v>5311.8</v>
      </c>
      <c r="F12" s="4" t="s">
        <v>28</v>
      </c>
      <c r="G12" s="4">
        <v>28</v>
      </c>
      <c r="H12" s="4">
        <v>81.72</v>
      </c>
      <c r="I12" s="6">
        <f t="shared" si="1"/>
        <v>2288.16</v>
      </c>
      <c r="K12" s="4" t="s">
        <v>52</v>
      </c>
      <c r="L12" s="4">
        <v>10</v>
      </c>
      <c r="M12" s="6">
        <v>2735</v>
      </c>
      <c r="N12" s="6">
        <f t="shared" si="2"/>
        <v>27350</v>
      </c>
    </row>
    <row r="13" spans="1:14" x14ac:dyDescent="0.25">
      <c r="A13" s="4" t="s">
        <v>29</v>
      </c>
      <c r="B13" s="4">
        <v>0.2</v>
      </c>
      <c r="C13" s="6">
        <v>10678.2</v>
      </c>
      <c r="D13" s="6">
        <f t="shared" si="0"/>
        <v>2135.6400000000003</v>
      </c>
      <c r="F13" s="4" t="s">
        <v>29</v>
      </c>
      <c r="G13" s="4">
        <v>0</v>
      </c>
      <c r="H13" s="6">
        <v>10678.2</v>
      </c>
      <c r="I13" s="6">
        <f t="shared" si="1"/>
        <v>0</v>
      </c>
      <c r="K13" s="4" t="s">
        <v>53</v>
      </c>
      <c r="L13" s="4">
        <v>24</v>
      </c>
      <c r="M13" s="6">
        <v>4000</v>
      </c>
      <c r="N13" s="6">
        <f t="shared" si="2"/>
        <v>96000</v>
      </c>
    </row>
    <row r="14" spans="1:14" x14ac:dyDescent="0.25">
      <c r="A14" s="4" t="s">
        <v>30</v>
      </c>
      <c r="B14" s="4">
        <v>0.1</v>
      </c>
      <c r="C14" s="6">
        <v>6610.17</v>
      </c>
      <c r="D14" s="6">
        <f t="shared" si="0"/>
        <v>661.01700000000005</v>
      </c>
      <c r="F14" s="4" t="s">
        <v>30</v>
      </c>
      <c r="G14" s="4">
        <v>0.12</v>
      </c>
      <c r="H14" s="6">
        <v>6610.17</v>
      </c>
      <c r="I14" s="6">
        <f t="shared" si="1"/>
        <v>793.22039999999993</v>
      </c>
      <c r="K14" s="4" t="s">
        <v>32</v>
      </c>
      <c r="L14" s="4">
        <v>0.5</v>
      </c>
      <c r="M14" s="6">
        <v>3305.08</v>
      </c>
      <c r="N14" s="6">
        <f t="shared" si="2"/>
        <v>1652.54</v>
      </c>
    </row>
    <row r="15" spans="1:14" ht="18.75" x14ac:dyDescent="0.3">
      <c r="A15" s="4" t="s">
        <v>31</v>
      </c>
      <c r="B15" s="4">
        <v>0</v>
      </c>
      <c r="C15" s="6">
        <v>6610</v>
      </c>
      <c r="D15" s="6">
        <f t="shared" si="0"/>
        <v>0</v>
      </c>
      <c r="F15" s="4" t="s">
        <v>31</v>
      </c>
      <c r="G15" s="4">
        <v>10</v>
      </c>
      <c r="H15" s="6">
        <v>6610</v>
      </c>
      <c r="I15" s="6">
        <f t="shared" si="1"/>
        <v>66100</v>
      </c>
      <c r="L15" s="30" t="s">
        <v>48</v>
      </c>
      <c r="M15" s="10" t="s">
        <v>37</v>
      </c>
      <c r="N15" s="11">
        <f>SUM(N5:N14)</f>
        <v>157557.391</v>
      </c>
    </row>
    <row r="16" spans="1:14" x14ac:dyDescent="0.25">
      <c r="A16" s="4" t="s">
        <v>45</v>
      </c>
      <c r="B16" s="4">
        <v>11</v>
      </c>
      <c r="C16" s="6">
        <v>5339</v>
      </c>
      <c r="D16" s="6">
        <f t="shared" si="0"/>
        <v>58729</v>
      </c>
      <c r="F16" s="4" t="s">
        <v>45</v>
      </c>
      <c r="G16" s="4">
        <v>0</v>
      </c>
      <c r="H16" s="6">
        <v>5339</v>
      </c>
      <c r="I16" s="6">
        <f t="shared" si="1"/>
        <v>0</v>
      </c>
      <c r="L16" s="31"/>
      <c r="M16" s="4" t="s">
        <v>38</v>
      </c>
      <c r="N16" s="12">
        <f>+N15/N3</f>
        <v>8080.4877811113674</v>
      </c>
    </row>
    <row r="17" spans="1:14" x14ac:dyDescent="0.25">
      <c r="A17" s="4" t="s">
        <v>32</v>
      </c>
      <c r="B17" s="4">
        <v>0.5</v>
      </c>
      <c r="C17" s="6">
        <v>3305.08</v>
      </c>
      <c r="D17" s="6">
        <f t="shared" si="0"/>
        <v>1652.54</v>
      </c>
      <c r="F17" s="4" t="s">
        <v>32</v>
      </c>
      <c r="G17" s="4">
        <v>0.5</v>
      </c>
      <c r="H17" s="6">
        <v>3305.08</v>
      </c>
      <c r="I17" s="6">
        <f t="shared" si="1"/>
        <v>1652.54</v>
      </c>
      <c r="L17" s="31"/>
      <c r="M17" s="4" t="s">
        <v>39</v>
      </c>
      <c r="N17" s="13">
        <v>1500</v>
      </c>
    </row>
    <row r="18" spans="1:14" x14ac:dyDescent="0.25">
      <c r="A18" s="4" t="s">
        <v>33</v>
      </c>
      <c r="B18" s="4">
        <v>1</v>
      </c>
      <c r="C18" s="6">
        <v>8474.57</v>
      </c>
      <c r="D18" s="6">
        <f t="shared" si="0"/>
        <v>8474.57</v>
      </c>
      <c r="F18" s="4" t="s">
        <v>33</v>
      </c>
      <c r="G18" s="4">
        <v>1</v>
      </c>
      <c r="H18" s="6">
        <v>8474.57</v>
      </c>
      <c r="I18" s="6">
        <f t="shared" si="1"/>
        <v>8474.57</v>
      </c>
      <c r="L18" s="31"/>
      <c r="M18" s="4" t="s">
        <v>40</v>
      </c>
      <c r="N18" s="13">
        <v>500</v>
      </c>
    </row>
    <row r="19" spans="1:14" x14ac:dyDescent="0.25">
      <c r="A19" s="4" t="s">
        <v>34</v>
      </c>
      <c r="B19" s="4">
        <v>0.5</v>
      </c>
      <c r="C19" s="6">
        <v>3813.55</v>
      </c>
      <c r="D19" s="6">
        <f t="shared" si="0"/>
        <v>1906.7750000000001</v>
      </c>
      <c r="F19" s="4" t="s">
        <v>34</v>
      </c>
      <c r="G19" s="4">
        <v>0.5</v>
      </c>
      <c r="H19" s="6">
        <v>3813.55</v>
      </c>
      <c r="I19" s="6">
        <f t="shared" si="1"/>
        <v>1906.7750000000001</v>
      </c>
      <c r="L19" s="31"/>
      <c r="M19" s="4" t="s">
        <v>41</v>
      </c>
      <c r="N19" s="14">
        <f>+N16+N17+N18</f>
        <v>10080.487781111367</v>
      </c>
    </row>
    <row r="20" spans="1:14" x14ac:dyDescent="0.25">
      <c r="A20" s="4" t="s">
        <v>35</v>
      </c>
      <c r="B20" s="4">
        <v>0</v>
      </c>
      <c r="C20" s="6">
        <v>1101.69</v>
      </c>
      <c r="D20" s="6">
        <f t="shared" si="0"/>
        <v>0</v>
      </c>
      <c r="F20" s="4" t="s">
        <v>35</v>
      </c>
      <c r="G20" s="4">
        <v>0</v>
      </c>
      <c r="H20" s="6">
        <v>1101.69</v>
      </c>
      <c r="I20" s="6">
        <f t="shared" si="1"/>
        <v>0</v>
      </c>
      <c r="L20" s="31"/>
      <c r="M20" s="4" t="s">
        <v>42</v>
      </c>
      <c r="N20" s="13">
        <v>12000</v>
      </c>
    </row>
    <row r="21" spans="1:14" ht="18.75" x14ac:dyDescent="0.3">
      <c r="B21" s="30" t="s">
        <v>48</v>
      </c>
      <c r="C21" s="10" t="s">
        <v>37</v>
      </c>
      <c r="D21" s="11">
        <f>SUM(D5:D20)</f>
        <v>170142.10200000001</v>
      </c>
      <c r="G21" s="30" t="s">
        <v>48</v>
      </c>
      <c r="H21" s="10" t="s">
        <v>37</v>
      </c>
      <c r="I21" s="11">
        <f>SUM(I5:I20)</f>
        <v>136500.06539999996</v>
      </c>
      <c r="L21" s="31"/>
      <c r="M21" s="4" t="s">
        <v>43</v>
      </c>
      <c r="N21" s="14">
        <f>+N20-N19</f>
        <v>1919.5122188886326</v>
      </c>
    </row>
    <row r="22" spans="1:14" x14ac:dyDescent="0.25">
      <c r="B22" s="31"/>
      <c r="C22" s="4" t="s">
        <v>38</v>
      </c>
      <c r="D22" s="12">
        <f>+D21/D3</f>
        <v>5569.2995744680857</v>
      </c>
      <c r="G22" s="31"/>
      <c r="H22" s="4" t="s">
        <v>38</v>
      </c>
      <c r="I22" s="12">
        <f>+I21/I3</f>
        <v>4864.5782394868129</v>
      </c>
      <c r="L22" s="31"/>
      <c r="M22" s="4" t="s">
        <v>44</v>
      </c>
      <c r="N22" s="13">
        <f>+N21*N3</f>
        <v>37427.609000000004</v>
      </c>
    </row>
    <row r="23" spans="1:14" ht="30" x14ac:dyDescent="0.25">
      <c r="B23" s="31"/>
      <c r="C23" s="4" t="s">
        <v>39</v>
      </c>
      <c r="D23" s="13">
        <v>1850</v>
      </c>
      <c r="G23" s="31"/>
      <c r="H23" s="4" t="s">
        <v>39</v>
      </c>
      <c r="I23" s="13">
        <v>1850</v>
      </c>
      <c r="L23" s="32"/>
      <c r="M23" s="18" t="s">
        <v>49</v>
      </c>
      <c r="N23" s="17">
        <f>+N22*56</f>
        <v>2095946.1040000003</v>
      </c>
    </row>
    <row r="24" spans="1:14" x14ac:dyDescent="0.25">
      <c r="B24" s="31"/>
      <c r="C24" s="4" t="s">
        <v>40</v>
      </c>
      <c r="D24" s="13">
        <v>750</v>
      </c>
      <c r="G24" s="31"/>
      <c r="H24" s="4" t="s">
        <v>40</v>
      </c>
      <c r="I24" s="13">
        <v>750</v>
      </c>
    </row>
    <row r="25" spans="1:14" x14ac:dyDescent="0.25">
      <c r="B25" s="31"/>
      <c r="C25" s="4" t="s">
        <v>41</v>
      </c>
      <c r="D25" s="14">
        <f>+D22+D23+D24</f>
        <v>8169.2995744680857</v>
      </c>
      <c r="G25" s="31"/>
      <c r="H25" s="4" t="s">
        <v>41</v>
      </c>
      <c r="I25" s="14">
        <f>+I22+I23+I24</f>
        <v>7464.5782394868129</v>
      </c>
    </row>
    <row r="26" spans="1:14" x14ac:dyDescent="0.25">
      <c r="B26" s="31"/>
      <c r="C26" s="4" t="s">
        <v>42</v>
      </c>
      <c r="D26" s="13">
        <v>10500</v>
      </c>
      <c r="G26" s="31"/>
      <c r="H26" s="4" t="s">
        <v>42</v>
      </c>
      <c r="I26" s="13">
        <v>11500</v>
      </c>
    </row>
    <row r="27" spans="1:14" x14ac:dyDescent="0.25">
      <c r="B27" s="31"/>
      <c r="C27" s="4" t="s">
        <v>43</v>
      </c>
      <c r="D27" s="14">
        <f>+D26-D25</f>
        <v>2330.7004255319143</v>
      </c>
      <c r="G27" s="31"/>
      <c r="H27" s="4" t="s">
        <v>43</v>
      </c>
      <c r="I27" s="14">
        <f>+I26-I25</f>
        <v>4035.4217605131871</v>
      </c>
    </row>
    <row r="28" spans="1:14" x14ac:dyDescent="0.25">
      <c r="B28" s="31"/>
      <c r="C28" s="4" t="s">
        <v>44</v>
      </c>
      <c r="D28" s="13">
        <f>+D27*D3</f>
        <v>71202.897999999972</v>
      </c>
      <c r="G28" s="31"/>
      <c r="H28" s="4" t="s">
        <v>44</v>
      </c>
      <c r="I28" s="13">
        <f>+I27*I3</f>
        <v>113233.93460000002</v>
      </c>
    </row>
    <row r="29" spans="1:14" ht="60" customHeight="1" x14ac:dyDescent="0.25">
      <c r="B29" s="32"/>
      <c r="C29" s="18" t="s">
        <v>49</v>
      </c>
      <c r="D29" s="17">
        <f>+D28*56</f>
        <v>3987362.2879999983</v>
      </c>
      <c r="G29" s="32"/>
      <c r="H29" s="18" t="s">
        <v>49</v>
      </c>
      <c r="I29" s="17">
        <f>+I28*56</f>
        <v>6341100.3376000011</v>
      </c>
    </row>
    <row r="32" spans="1:14" x14ac:dyDescent="0.25">
      <c r="A32" s="27" t="s">
        <v>46</v>
      </c>
      <c r="B32" s="28"/>
      <c r="C32" s="28"/>
      <c r="D32" s="29"/>
    </row>
    <row r="33" spans="1:4" x14ac:dyDescent="0.25">
      <c r="C33" s="15" t="s">
        <v>47</v>
      </c>
      <c r="D33" s="16">
        <f>+COTATION!B7+COTATION!B9+COTATION!B18+COTATION!B20+COTATION!B22</f>
        <v>86.15</v>
      </c>
    </row>
    <row r="34" spans="1:4" x14ac:dyDescent="0.25">
      <c r="A34" s="5" t="s">
        <v>18</v>
      </c>
      <c r="B34" s="5" t="s">
        <v>19</v>
      </c>
      <c r="C34" s="5" t="s">
        <v>20</v>
      </c>
      <c r="D34" s="5" t="s">
        <v>36</v>
      </c>
    </row>
    <row r="35" spans="1:4" x14ac:dyDescent="0.25">
      <c r="A35" s="4" t="s">
        <v>21</v>
      </c>
      <c r="B35" s="4">
        <v>4</v>
      </c>
      <c r="C35" s="4">
        <v>910.68</v>
      </c>
      <c r="D35" s="6">
        <f>+B35*C35</f>
        <v>3642.72</v>
      </c>
    </row>
    <row r="36" spans="1:4" x14ac:dyDescent="0.25">
      <c r="A36" s="4" t="s">
        <v>22</v>
      </c>
      <c r="B36" s="4">
        <v>2</v>
      </c>
      <c r="C36" s="7">
        <v>885</v>
      </c>
      <c r="D36" s="6">
        <f>B36*C36</f>
        <v>1770</v>
      </c>
    </row>
    <row r="37" spans="1:4" x14ac:dyDescent="0.25">
      <c r="A37" s="4" t="s">
        <v>23</v>
      </c>
      <c r="B37" s="4">
        <v>60</v>
      </c>
      <c r="C37" s="4">
        <v>1195</v>
      </c>
      <c r="D37" s="6">
        <f t="shared" ref="D37:D50" si="3">+B37*C37</f>
        <v>71700</v>
      </c>
    </row>
    <row r="38" spans="1:4" x14ac:dyDescent="0.25">
      <c r="A38" s="4" t="s">
        <v>24</v>
      </c>
      <c r="B38" s="4">
        <v>90</v>
      </c>
      <c r="C38" s="4">
        <v>109.32</v>
      </c>
      <c r="D38" s="6">
        <f t="shared" si="3"/>
        <v>9838.7999999999993</v>
      </c>
    </row>
    <row r="39" spans="1:4" x14ac:dyDescent="0.25">
      <c r="A39" s="4" t="s">
        <v>25</v>
      </c>
      <c r="B39" s="4">
        <v>85</v>
      </c>
      <c r="C39" s="6">
        <v>182.2</v>
      </c>
      <c r="D39" s="6">
        <f t="shared" si="3"/>
        <v>15486.999999999998</v>
      </c>
    </row>
    <row r="40" spans="1:4" x14ac:dyDescent="0.25">
      <c r="A40" s="4" t="s">
        <v>26</v>
      </c>
      <c r="B40" s="4">
        <v>45</v>
      </c>
      <c r="C40" s="4">
        <v>279.66000000000003</v>
      </c>
      <c r="D40" s="6">
        <f t="shared" si="3"/>
        <v>12584.7</v>
      </c>
    </row>
    <row r="41" spans="1:4" x14ac:dyDescent="0.25">
      <c r="A41" s="4" t="s">
        <v>27</v>
      </c>
      <c r="B41" s="4">
        <v>65</v>
      </c>
      <c r="C41" s="4">
        <v>930</v>
      </c>
      <c r="D41" s="6">
        <f t="shared" si="3"/>
        <v>60450</v>
      </c>
    </row>
    <row r="42" spans="1:4" x14ac:dyDescent="0.25">
      <c r="A42" s="4" t="s">
        <v>28</v>
      </c>
      <c r="B42" s="4">
        <v>175</v>
      </c>
      <c r="C42" s="4">
        <v>81.72</v>
      </c>
      <c r="D42" s="6">
        <f t="shared" si="3"/>
        <v>14301</v>
      </c>
    </row>
    <row r="43" spans="1:4" x14ac:dyDescent="0.25">
      <c r="A43" s="4" t="s">
        <v>29</v>
      </c>
      <c r="B43" s="4">
        <v>1</v>
      </c>
      <c r="C43" s="6">
        <v>10678.2</v>
      </c>
      <c r="D43" s="6">
        <f t="shared" si="3"/>
        <v>10678.2</v>
      </c>
    </row>
    <row r="44" spans="1:4" x14ac:dyDescent="0.25">
      <c r="A44" s="4" t="s">
        <v>30</v>
      </c>
      <c r="B44" s="4">
        <v>0.3</v>
      </c>
      <c r="C44" s="6">
        <v>6610.17</v>
      </c>
      <c r="D44" s="6">
        <f t="shared" si="3"/>
        <v>1983.0509999999999</v>
      </c>
    </row>
    <row r="45" spans="1:4" x14ac:dyDescent="0.25">
      <c r="A45" s="4" t="s">
        <v>31</v>
      </c>
      <c r="B45" s="4">
        <v>0</v>
      </c>
      <c r="C45" s="6">
        <v>6610</v>
      </c>
      <c r="D45" s="6">
        <f t="shared" si="3"/>
        <v>0</v>
      </c>
    </row>
    <row r="46" spans="1:4" x14ac:dyDescent="0.25">
      <c r="A46" s="4" t="s">
        <v>45</v>
      </c>
      <c r="B46" s="4">
        <v>31</v>
      </c>
      <c r="C46" s="6">
        <v>5339</v>
      </c>
      <c r="D46" s="6">
        <f t="shared" si="3"/>
        <v>165509</v>
      </c>
    </row>
    <row r="47" spans="1:4" x14ac:dyDescent="0.25">
      <c r="A47" s="4" t="s">
        <v>32</v>
      </c>
      <c r="B47" s="4">
        <v>1.5</v>
      </c>
      <c r="C47" s="6">
        <v>3305.08</v>
      </c>
      <c r="D47" s="6">
        <f t="shared" si="3"/>
        <v>4957.62</v>
      </c>
    </row>
    <row r="48" spans="1:4" x14ac:dyDescent="0.25">
      <c r="A48" s="4" t="s">
        <v>33</v>
      </c>
      <c r="B48" s="4">
        <v>2</v>
      </c>
      <c r="C48" s="6">
        <v>8474.57</v>
      </c>
      <c r="D48" s="6">
        <f t="shared" si="3"/>
        <v>16949.14</v>
      </c>
    </row>
    <row r="49" spans="1:4" x14ac:dyDescent="0.25">
      <c r="A49" s="4" t="s">
        <v>34</v>
      </c>
      <c r="B49" s="4">
        <v>1</v>
      </c>
      <c r="C49" s="6">
        <v>3813.55</v>
      </c>
      <c r="D49" s="6">
        <f t="shared" si="3"/>
        <v>3813.55</v>
      </c>
    </row>
    <row r="50" spans="1:4" x14ac:dyDescent="0.25">
      <c r="A50" s="4" t="s">
        <v>35</v>
      </c>
      <c r="B50" s="4">
        <v>0</v>
      </c>
      <c r="C50" s="6">
        <v>1101.69</v>
      </c>
      <c r="D50" s="6">
        <f t="shared" si="3"/>
        <v>0</v>
      </c>
    </row>
    <row r="51" spans="1:4" ht="18.75" x14ac:dyDescent="0.3">
      <c r="B51" s="30" t="s">
        <v>48</v>
      </c>
      <c r="C51" s="10" t="s">
        <v>37</v>
      </c>
      <c r="D51" s="11">
        <f>SUM(D35:D50)</f>
        <v>393664.78100000002</v>
      </c>
    </row>
    <row r="52" spans="1:4" x14ac:dyDescent="0.25">
      <c r="B52" s="31"/>
      <c r="C52" s="4" t="s">
        <v>38</v>
      </c>
      <c r="D52" s="12">
        <f>+D51/D33</f>
        <v>4569.5273476494485</v>
      </c>
    </row>
    <row r="53" spans="1:4" x14ac:dyDescent="0.25">
      <c r="B53" s="31"/>
      <c r="C53" s="4" t="s">
        <v>39</v>
      </c>
      <c r="D53" s="13">
        <v>1850</v>
      </c>
    </row>
    <row r="54" spans="1:4" x14ac:dyDescent="0.25">
      <c r="B54" s="31"/>
      <c r="C54" s="4" t="s">
        <v>40</v>
      </c>
      <c r="D54" s="13">
        <v>750</v>
      </c>
    </row>
    <row r="55" spans="1:4" x14ac:dyDescent="0.25">
      <c r="B55" s="31"/>
      <c r="C55" s="4" t="s">
        <v>41</v>
      </c>
      <c r="D55" s="14">
        <f>+D52+D53+D54</f>
        <v>7169.5273476494485</v>
      </c>
    </row>
    <row r="56" spans="1:4" x14ac:dyDescent="0.25">
      <c r="B56" s="31"/>
      <c r="C56" s="4" t="s">
        <v>42</v>
      </c>
      <c r="D56" s="13">
        <v>10500</v>
      </c>
    </row>
    <row r="57" spans="1:4" x14ac:dyDescent="0.25">
      <c r="B57" s="31"/>
      <c r="C57" s="4" t="s">
        <v>43</v>
      </c>
      <c r="D57" s="14">
        <f>+D56-D55</f>
        <v>3330.4726523505515</v>
      </c>
    </row>
    <row r="58" spans="1:4" x14ac:dyDescent="0.25">
      <c r="B58" s="31"/>
      <c r="C58" s="4" t="s">
        <v>44</v>
      </c>
      <c r="D58" s="13">
        <f>+D57*D33</f>
        <v>286920.21900000004</v>
      </c>
    </row>
    <row r="59" spans="1:4" ht="30" x14ac:dyDescent="0.25">
      <c r="B59" s="32"/>
      <c r="C59" s="18" t="s">
        <v>49</v>
      </c>
      <c r="D59" s="17">
        <f>+D58*56</f>
        <v>16067532.264000002</v>
      </c>
    </row>
  </sheetData>
  <mergeCells count="8">
    <mergeCell ref="A32:D32"/>
    <mergeCell ref="B51:B59"/>
    <mergeCell ref="K2:N2"/>
    <mergeCell ref="L15:L23"/>
    <mergeCell ref="B21:B29"/>
    <mergeCell ref="A2:D2"/>
    <mergeCell ref="F2:I2"/>
    <mergeCell ref="G21:G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workbookViewId="0">
      <selection activeCell="D14" sqref="D14"/>
    </sheetView>
  </sheetViews>
  <sheetFormatPr baseColWidth="10" defaultRowHeight="15" x14ac:dyDescent="0.25"/>
  <cols>
    <col min="1" max="1" width="22.7109375" bestFit="1" customWidth="1"/>
    <col min="3" max="3" width="18.5703125" bestFit="1" customWidth="1"/>
    <col min="4" max="4" width="14" bestFit="1" customWidth="1"/>
  </cols>
  <sheetData>
    <row r="3" spans="1:4" x14ac:dyDescent="0.25">
      <c r="A3" s="27" t="s">
        <v>55</v>
      </c>
      <c r="B3" s="28"/>
      <c r="C3" s="28"/>
      <c r="D3" s="29"/>
    </row>
    <row r="4" spans="1:4" x14ac:dyDescent="0.25">
      <c r="C4" s="15" t="s">
        <v>57</v>
      </c>
      <c r="D4" s="16">
        <v>95.53</v>
      </c>
    </row>
    <row r="5" spans="1:4" x14ac:dyDescent="0.25">
      <c r="A5" s="5" t="s">
        <v>18</v>
      </c>
      <c r="B5" s="5" t="s">
        <v>19</v>
      </c>
      <c r="C5" s="5" t="s">
        <v>20</v>
      </c>
      <c r="D5" s="5" t="s">
        <v>36</v>
      </c>
    </row>
    <row r="6" spans="1:4" x14ac:dyDescent="0.25">
      <c r="A6" s="4" t="s">
        <v>21</v>
      </c>
      <c r="B6" s="4">
        <v>34</v>
      </c>
      <c r="C6" s="4">
        <v>910.68</v>
      </c>
      <c r="D6" s="6">
        <f>+B6*C6</f>
        <v>30963.119999999999</v>
      </c>
    </row>
    <row r="7" spans="1:4" x14ac:dyDescent="0.25">
      <c r="A7" s="4" t="s">
        <v>56</v>
      </c>
      <c r="B7" s="4">
        <v>34</v>
      </c>
      <c r="C7" s="4">
        <v>1525</v>
      </c>
      <c r="D7" s="6">
        <f>+C7*B7</f>
        <v>51850</v>
      </c>
    </row>
    <row r="8" spans="1:4" x14ac:dyDescent="0.25">
      <c r="A8" s="4" t="s">
        <v>22</v>
      </c>
      <c r="B8" s="4">
        <v>12</v>
      </c>
      <c r="C8" s="7">
        <v>885</v>
      </c>
      <c r="D8" s="6">
        <f>B8*C8</f>
        <v>10620</v>
      </c>
    </row>
    <row r="9" spans="1:4" x14ac:dyDescent="0.25">
      <c r="A9" s="4" t="s">
        <v>45</v>
      </c>
      <c r="B9" s="4">
        <v>5</v>
      </c>
      <c r="C9" s="6">
        <v>5339</v>
      </c>
      <c r="D9" s="6">
        <f t="shared" ref="D9:D13" si="0">+B9*C9</f>
        <v>26695</v>
      </c>
    </row>
    <row r="10" spans="1:4" x14ac:dyDescent="0.25">
      <c r="A10" s="4" t="s">
        <v>32</v>
      </c>
      <c r="B10" s="4">
        <v>1.5</v>
      </c>
      <c r="C10" s="6">
        <v>3305.08</v>
      </c>
      <c r="D10" s="6">
        <f t="shared" si="0"/>
        <v>4957.62</v>
      </c>
    </row>
    <row r="11" spans="1:4" x14ac:dyDescent="0.25">
      <c r="A11" s="4" t="s">
        <v>33</v>
      </c>
      <c r="B11" s="4">
        <v>1.5</v>
      </c>
      <c r="C11" s="6">
        <v>8474.57</v>
      </c>
      <c r="D11" s="6">
        <f t="shared" si="0"/>
        <v>12711.855</v>
      </c>
    </row>
    <row r="12" spans="1:4" x14ac:dyDescent="0.25">
      <c r="A12" s="4" t="s">
        <v>34</v>
      </c>
      <c r="B12" s="4">
        <v>1</v>
      </c>
      <c r="C12" s="6">
        <v>3813.55</v>
      </c>
      <c r="D12" s="6">
        <f t="shared" si="0"/>
        <v>3813.55</v>
      </c>
    </row>
    <row r="13" spans="1:4" x14ac:dyDescent="0.25">
      <c r="A13" s="4" t="s">
        <v>58</v>
      </c>
      <c r="B13" s="4">
        <v>4</v>
      </c>
      <c r="C13" s="6">
        <v>6102</v>
      </c>
      <c r="D13" s="6">
        <f t="shared" si="0"/>
        <v>24408</v>
      </c>
    </row>
    <row r="14" spans="1:4" ht="18.75" x14ac:dyDescent="0.3">
      <c r="B14" s="30" t="s">
        <v>48</v>
      </c>
      <c r="C14" s="10" t="s">
        <v>37</v>
      </c>
      <c r="D14" s="11">
        <f>SUM(D6:D13)</f>
        <v>166019.14499999999</v>
      </c>
    </row>
    <row r="15" spans="1:4" x14ac:dyDescent="0.25">
      <c r="B15" s="31"/>
      <c r="C15" s="4" t="s">
        <v>59</v>
      </c>
      <c r="D15" s="12">
        <f>+D14/D4</f>
        <v>1737.8744373495235</v>
      </c>
    </row>
    <row r="16" spans="1:4" x14ac:dyDescent="0.25">
      <c r="B16" s="31"/>
      <c r="C16" s="4" t="s">
        <v>60</v>
      </c>
      <c r="D16" s="13">
        <v>650</v>
      </c>
    </row>
    <row r="17" spans="2:4" x14ac:dyDescent="0.25">
      <c r="B17" s="31"/>
      <c r="C17" s="4" t="s">
        <v>40</v>
      </c>
      <c r="D17" s="13">
        <v>0</v>
      </c>
    </row>
    <row r="18" spans="2:4" x14ac:dyDescent="0.25">
      <c r="B18" s="31"/>
      <c r="C18" s="4" t="s">
        <v>61</v>
      </c>
      <c r="D18" s="14">
        <f>+D15+D16+D17</f>
        <v>2387.8744373495238</v>
      </c>
    </row>
    <row r="19" spans="2:4" x14ac:dyDescent="0.25">
      <c r="B19" s="31"/>
      <c r="C19" s="4" t="s">
        <v>42</v>
      </c>
      <c r="D19" s="13">
        <v>0</v>
      </c>
    </row>
    <row r="20" spans="2:4" x14ac:dyDescent="0.25">
      <c r="B20" s="31"/>
      <c r="C20" s="4" t="s">
        <v>43</v>
      </c>
      <c r="D20" s="14">
        <v>0</v>
      </c>
    </row>
    <row r="21" spans="2:4" x14ac:dyDescent="0.25">
      <c r="B21" s="31"/>
      <c r="C21" s="4" t="s">
        <v>44</v>
      </c>
      <c r="D21" s="13">
        <v>0</v>
      </c>
    </row>
    <row r="22" spans="2:4" ht="30" x14ac:dyDescent="0.25">
      <c r="B22" s="32"/>
      <c r="C22" s="18" t="s">
        <v>49</v>
      </c>
      <c r="D22" s="17">
        <f>+D21*56</f>
        <v>0</v>
      </c>
    </row>
  </sheetData>
  <mergeCells count="2">
    <mergeCell ref="A3:D3"/>
    <mergeCell ref="B14:B2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19"/>
  <sheetViews>
    <sheetView topLeftCell="A4" workbookViewId="0">
      <selection activeCell="S20" sqref="S20"/>
    </sheetView>
  </sheetViews>
  <sheetFormatPr baseColWidth="10" defaultRowHeight="15" x14ac:dyDescent="0.25"/>
  <cols>
    <col min="1" max="1" width="22.7109375" bestFit="1" customWidth="1"/>
    <col min="4" max="4" width="12.85546875" bestFit="1" customWidth="1"/>
    <col min="5" max="5" width="5" customWidth="1"/>
    <col min="6" max="6" width="22.7109375" bestFit="1" customWidth="1"/>
    <col min="10" max="10" width="7.85546875" customWidth="1"/>
    <col min="11" max="11" width="22.7109375" bestFit="1" customWidth="1"/>
    <col min="15" max="15" width="6" customWidth="1"/>
    <col min="16" max="16" width="22.7109375" bestFit="1" customWidth="1"/>
  </cols>
  <sheetData>
    <row r="2" spans="1:19" ht="33.75" customHeight="1" x14ac:dyDescent="0.25">
      <c r="A2" s="33" t="s">
        <v>46</v>
      </c>
      <c r="B2" s="34"/>
      <c r="C2" s="34"/>
      <c r="D2" s="35"/>
      <c r="F2" s="36" t="s">
        <v>50</v>
      </c>
      <c r="G2" s="37"/>
      <c r="H2" s="37"/>
      <c r="I2" s="38"/>
      <c r="K2" s="39" t="s">
        <v>78</v>
      </c>
      <c r="L2" s="40"/>
      <c r="M2" s="40"/>
      <c r="N2" s="41"/>
      <c r="P2" s="27" t="s">
        <v>55</v>
      </c>
      <c r="Q2" s="28"/>
      <c r="R2" s="28"/>
      <c r="S2" s="29"/>
    </row>
    <row r="3" spans="1:19" x14ac:dyDescent="0.25">
      <c r="C3" s="15" t="s">
        <v>47</v>
      </c>
      <c r="D3" s="16">
        <f>+COTATION!B10+COTATION!B25+COTATION!B21</f>
        <v>30.549999999999997</v>
      </c>
      <c r="H3" s="15" t="s">
        <v>47</v>
      </c>
      <c r="I3" s="16">
        <f>+COTATION!B8+COTATION!B11+COTATION!B12+COTATION!B19+COTATION!B23+COTATION!B24</f>
        <v>28.06</v>
      </c>
      <c r="M3" s="15" t="s">
        <v>47</v>
      </c>
      <c r="N3" s="16">
        <v>86.15</v>
      </c>
      <c r="R3" s="15" t="s">
        <v>57</v>
      </c>
      <c r="S3" s="16">
        <v>95.53</v>
      </c>
    </row>
    <row r="4" spans="1:19" x14ac:dyDescent="0.25">
      <c r="A4" s="5" t="s">
        <v>18</v>
      </c>
      <c r="B4" s="5" t="s">
        <v>19</v>
      </c>
      <c r="C4" s="5" t="s">
        <v>20</v>
      </c>
      <c r="D4" s="5" t="s">
        <v>36</v>
      </c>
      <c r="F4" s="5" t="s">
        <v>18</v>
      </c>
      <c r="G4" s="5" t="s">
        <v>19</v>
      </c>
      <c r="H4" s="5" t="s">
        <v>20</v>
      </c>
      <c r="I4" s="5" t="s">
        <v>36</v>
      </c>
      <c r="K4" s="5" t="s">
        <v>18</v>
      </c>
      <c r="L4" s="5" t="s">
        <v>19</v>
      </c>
      <c r="M4" s="5" t="s">
        <v>20</v>
      </c>
      <c r="N4" s="5" t="s">
        <v>36</v>
      </c>
      <c r="P4" s="5" t="s">
        <v>18</v>
      </c>
      <c r="Q4" s="5" t="s">
        <v>19</v>
      </c>
      <c r="R4" s="5" t="s">
        <v>20</v>
      </c>
      <c r="S4" s="5" t="s">
        <v>36</v>
      </c>
    </row>
    <row r="5" spans="1:19" x14ac:dyDescent="0.25">
      <c r="A5" s="4" t="s">
        <v>21</v>
      </c>
      <c r="B5" s="4">
        <v>13</v>
      </c>
      <c r="C5" s="4">
        <v>910.68</v>
      </c>
      <c r="D5" s="6">
        <f>+B5*C5</f>
        <v>11838.84</v>
      </c>
      <c r="F5" s="4" t="s">
        <v>21</v>
      </c>
      <c r="G5" s="4">
        <v>20</v>
      </c>
      <c r="H5" s="4">
        <v>910.68</v>
      </c>
      <c r="I5" s="6">
        <f>+G5*H5</f>
        <v>18213.599999999999</v>
      </c>
      <c r="K5" s="4" t="s">
        <v>21</v>
      </c>
      <c r="L5" s="4">
        <v>4</v>
      </c>
      <c r="M5" s="4">
        <v>910.68</v>
      </c>
      <c r="N5" s="6">
        <v>3642.72</v>
      </c>
      <c r="P5" s="4" t="s">
        <v>21</v>
      </c>
      <c r="Q5" s="4">
        <v>34</v>
      </c>
      <c r="R5" s="4">
        <v>910.68</v>
      </c>
      <c r="S5" s="4">
        <v>30963.119999999999</v>
      </c>
    </row>
    <row r="6" spans="1:19" x14ac:dyDescent="0.25">
      <c r="A6" s="4" t="s">
        <v>22</v>
      </c>
      <c r="B6" s="4">
        <v>5</v>
      </c>
      <c r="C6" s="7">
        <v>885</v>
      </c>
      <c r="D6" s="6">
        <f>B6*C6</f>
        <v>4425</v>
      </c>
      <c r="F6" s="4" t="s">
        <v>22</v>
      </c>
      <c r="G6" s="4">
        <v>7</v>
      </c>
      <c r="H6" s="7">
        <v>885</v>
      </c>
      <c r="I6" s="6">
        <f>G6*H6</f>
        <v>6195</v>
      </c>
      <c r="K6" s="4" t="s">
        <v>22</v>
      </c>
      <c r="L6" s="4">
        <v>2</v>
      </c>
      <c r="M6" s="7">
        <v>885</v>
      </c>
      <c r="N6" s="6">
        <v>1770</v>
      </c>
      <c r="P6" s="4" t="s">
        <v>56</v>
      </c>
      <c r="Q6" s="4">
        <v>34</v>
      </c>
      <c r="R6" s="4">
        <v>1525</v>
      </c>
      <c r="S6" s="4">
        <v>51850</v>
      </c>
    </row>
    <row r="7" spans="1:19" x14ac:dyDescent="0.25">
      <c r="A7" s="4" t="s">
        <v>23</v>
      </c>
      <c r="B7" s="4">
        <v>22</v>
      </c>
      <c r="C7" s="4">
        <v>1195</v>
      </c>
      <c r="D7" s="6">
        <f t="shared" ref="D7:D19" si="0">+B7*C7</f>
        <v>26290</v>
      </c>
      <c r="F7" s="4" t="s">
        <v>23</v>
      </c>
      <c r="G7" s="4">
        <v>20</v>
      </c>
      <c r="H7" s="4">
        <v>1195</v>
      </c>
      <c r="I7" s="6">
        <f t="shared" ref="I7:I19" si="1">+G7*H7</f>
        <v>23900</v>
      </c>
      <c r="K7" s="4" t="s">
        <v>23</v>
      </c>
      <c r="L7" s="4">
        <v>60</v>
      </c>
      <c r="M7" s="4">
        <v>1195</v>
      </c>
      <c r="N7" s="6">
        <v>71700</v>
      </c>
      <c r="P7" s="4" t="s">
        <v>22</v>
      </c>
      <c r="Q7" s="4">
        <v>12</v>
      </c>
      <c r="R7" s="4">
        <v>885</v>
      </c>
      <c r="S7" s="4">
        <v>10620</v>
      </c>
    </row>
    <row r="8" spans="1:19" x14ac:dyDescent="0.25">
      <c r="A8" s="4" t="s">
        <v>24</v>
      </c>
      <c r="B8" s="4">
        <v>25</v>
      </c>
      <c r="C8" s="4">
        <v>109.32</v>
      </c>
      <c r="D8" s="6">
        <f t="shared" si="0"/>
        <v>2733</v>
      </c>
      <c r="F8" s="4" t="s">
        <v>24</v>
      </c>
      <c r="G8" s="4">
        <v>28</v>
      </c>
      <c r="H8" s="4">
        <v>109.32</v>
      </c>
      <c r="I8" s="6">
        <f t="shared" si="1"/>
        <v>3060.96</v>
      </c>
      <c r="K8" s="4" t="s">
        <v>24</v>
      </c>
      <c r="L8" s="4">
        <v>90</v>
      </c>
      <c r="M8" s="4">
        <v>109.32</v>
      </c>
      <c r="N8" s="6">
        <v>9838.7999999999993</v>
      </c>
      <c r="P8" s="4" t="s">
        <v>45</v>
      </c>
      <c r="Q8" s="4">
        <v>5</v>
      </c>
      <c r="R8" s="4">
        <v>5339</v>
      </c>
      <c r="S8" s="4">
        <v>26695</v>
      </c>
    </row>
    <row r="9" spans="1:19" x14ac:dyDescent="0.25">
      <c r="A9" s="4" t="s">
        <v>25</v>
      </c>
      <c r="B9" s="4">
        <v>40</v>
      </c>
      <c r="C9" s="6">
        <v>182.2</v>
      </c>
      <c r="D9" s="6">
        <f t="shared" si="0"/>
        <v>7288</v>
      </c>
      <c r="F9" s="4" t="s">
        <v>25</v>
      </c>
      <c r="G9" s="4">
        <v>0</v>
      </c>
      <c r="H9" s="6">
        <v>182.2</v>
      </c>
      <c r="I9" s="6">
        <f t="shared" si="1"/>
        <v>0</v>
      </c>
      <c r="K9" s="4" t="s">
        <v>25</v>
      </c>
      <c r="L9" s="4">
        <v>85</v>
      </c>
      <c r="M9" s="6">
        <v>182.2</v>
      </c>
      <c r="N9" s="6">
        <v>15486.999999999998</v>
      </c>
      <c r="P9" s="4" t="s">
        <v>32</v>
      </c>
      <c r="Q9" s="4">
        <v>1.5</v>
      </c>
      <c r="R9" s="4">
        <v>3305.08</v>
      </c>
      <c r="S9" s="4">
        <v>4957.62</v>
      </c>
    </row>
    <row r="10" spans="1:19" x14ac:dyDescent="0.25">
      <c r="A10" s="4" t="s">
        <v>26</v>
      </c>
      <c r="B10" s="4">
        <v>12</v>
      </c>
      <c r="C10" s="4">
        <v>279.66000000000003</v>
      </c>
      <c r="D10" s="6">
        <f t="shared" si="0"/>
        <v>3355.92</v>
      </c>
      <c r="F10" s="4" t="s">
        <v>26</v>
      </c>
      <c r="G10" s="4">
        <v>14</v>
      </c>
      <c r="H10" s="4">
        <v>279.66000000000003</v>
      </c>
      <c r="I10" s="6">
        <f t="shared" si="1"/>
        <v>3915.2400000000002</v>
      </c>
      <c r="K10" s="4" t="s">
        <v>26</v>
      </c>
      <c r="L10" s="4">
        <v>45</v>
      </c>
      <c r="M10" s="4">
        <v>279.66000000000003</v>
      </c>
      <c r="N10" s="6">
        <v>12584.7</v>
      </c>
      <c r="P10" s="4" t="s">
        <v>33</v>
      </c>
      <c r="Q10" s="4">
        <v>1.5</v>
      </c>
      <c r="R10" s="4">
        <v>8474.57</v>
      </c>
      <c r="S10" s="4">
        <v>12711.855</v>
      </c>
    </row>
    <row r="11" spans="1:19" x14ac:dyDescent="0.25">
      <c r="A11" s="4" t="s">
        <v>27</v>
      </c>
      <c r="B11" s="4">
        <v>38</v>
      </c>
      <c r="C11" s="4">
        <v>930</v>
      </c>
      <c r="D11" s="6">
        <f t="shared" si="0"/>
        <v>35340</v>
      </c>
      <c r="F11" s="4" t="s">
        <v>27</v>
      </c>
      <c r="G11" s="4">
        <v>0</v>
      </c>
      <c r="H11" s="4">
        <v>930</v>
      </c>
      <c r="I11" s="6">
        <f t="shared" si="1"/>
        <v>0</v>
      </c>
      <c r="K11" s="4" t="s">
        <v>27</v>
      </c>
      <c r="L11" s="4">
        <v>65</v>
      </c>
      <c r="M11" s="4">
        <v>930</v>
      </c>
      <c r="N11" s="6">
        <v>60450</v>
      </c>
      <c r="P11" s="4" t="s">
        <v>34</v>
      </c>
      <c r="Q11" s="4">
        <v>1</v>
      </c>
      <c r="R11" s="4">
        <v>3813.55</v>
      </c>
      <c r="S11" s="4">
        <v>3813.55</v>
      </c>
    </row>
    <row r="12" spans="1:19" x14ac:dyDescent="0.25">
      <c r="A12" s="4" t="s">
        <v>28</v>
      </c>
      <c r="B12" s="4">
        <v>65</v>
      </c>
      <c r="C12" s="4">
        <v>81.72</v>
      </c>
      <c r="D12" s="6">
        <f t="shared" si="0"/>
        <v>5311.8</v>
      </c>
      <c r="F12" s="4" t="s">
        <v>28</v>
      </c>
      <c r="G12" s="4">
        <v>28</v>
      </c>
      <c r="H12" s="4">
        <v>81.72</v>
      </c>
      <c r="I12" s="6">
        <f t="shared" si="1"/>
        <v>2288.16</v>
      </c>
      <c r="K12" s="4" t="s">
        <v>28</v>
      </c>
      <c r="L12" s="4">
        <v>175</v>
      </c>
      <c r="M12" s="4">
        <v>81.72</v>
      </c>
      <c r="N12" s="6">
        <v>14301</v>
      </c>
      <c r="P12" s="4" t="s">
        <v>58</v>
      </c>
      <c r="Q12" s="4">
        <v>4</v>
      </c>
      <c r="R12" s="4">
        <v>6102</v>
      </c>
      <c r="S12" s="4">
        <v>24408</v>
      </c>
    </row>
    <row r="13" spans="1:19" x14ac:dyDescent="0.25">
      <c r="A13" s="4" t="s">
        <v>29</v>
      </c>
      <c r="B13" s="4">
        <v>0.2</v>
      </c>
      <c r="C13" s="6">
        <v>10678.2</v>
      </c>
      <c r="D13" s="6">
        <f t="shared" si="0"/>
        <v>2135.6400000000003</v>
      </c>
      <c r="F13" s="4" t="s">
        <v>29</v>
      </c>
      <c r="G13" s="4">
        <v>0</v>
      </c>
      <c r="H13" s="6">
        <v>10678.2</v>
      </c>
      <c r="I13" s="6">
        <f t="shared" si="1"/>
        <v>0</v>
      </c>
      <c r="K13" s="4" t="s">
        <v>29</v>
      </c>
      <c r="L13" s="4">
        <v>1</v>
      </c>
      <c r="M13" s="6">
        <v>10678.2</v>
      </c>
      <c r="N13" s="6">
        <v>10678.2</v>
      </c>
    </row>
    <row r="14" spans="1:19" x14ac:dyDescent="0.25">
      <c r="A14" s="4" t="s">
        <v>30</v>
      </c>
      <c r="B14" s="4">
        <v>0.1</v>
      </c>
      <c r="C14" s="6">
        <v>6610.17</v>
      </c>
      <c r="D14" s="6">
        <f t="shared" si="0"/>
        <v>661.01700000000005</v>
      </c>
      <c r="F14" s="4" t="s">
        <v>30</v>
      </c>
      <c r="G14" s="4">
        <v>0.12</v>
      </c>
      <c r="H14" s="6">
        <v>6610.17</v>
      </c>
      <c r="I14" s="6">
        <f t="shared" si="1"/>
        <v>793.22039999999993</v>
      </c>
      <c r="K14" s="4" t="s">
        <v>30</v>
      </c>
      <c r="L14" s="4">
        <v>0.3</v>
      </c>
      <c r="M14" s="6">
        <v>6610.17</v>
      </c>
      <c r="N14" s="6">
        <v>1983.0509999999999</v>
      </c>
    </row>
    <row r="15" spans="1:19" x14ac:dyDescent="0.25">
      <c r="A15" s="4" t="s">
        <v>31</v>
      </c>
      <c r="B15" s="4">
        <v>0</v>
      </c>
      <c r="C15" s="6">
        <v>6610</v>
      </c>
      <c r="D15" s="6">
        <f t="shared" si="0"/>
        <v>0</v>
      </c>
      <c r="F15" s="4" t="s">
        <v>31</v>
      </c>
      <c r="G15" s="4">
        <v>10</v>
      </c>
      <c r="H15" s="6">
        <v>6610</v>
      </c>
      <c r="I15" s="6">
        <f t="shared" si="1"/>
        <v>66100</v>
      </c>
      <c r="K15" s="4" t="s">
        <v>31</v>
      </c>
      <c r="L15" s="4">
        <v>0</v>
      </c>
      <c r="M15" s="6">
        <v>6610</v>
      </c>
      <c r="N15" s="6">
        <v>0</v>
      </c>
    </row>
    <row r="16" spans="1:19" x14ac:dyDescent="0.25">
      <c r="A16" s="4" t="s">
        <v>45</v>
      </c>
      <c r="B16" s="4">
        <v>11</v>
      </c>
      <c r="C16" s="6">
        <v>5339</v>
      </c>
      <c r="D16" s="6">
        <f t="shared" si="0"/>
        <v>58729</v>
      </c>
      <c r="F16" s="4" t="s">
        <v>45</v>
      </c>
      <c r="G16" s="4">
        <v>0</v>
      </c>
      <c r="H16" s="6">
        <v>5339</v>
      </c>
      <c r="I16" s="6">
        <f t="shared" si="1"/>
        <v>0</v>
      </c>
      <c r="K16" s="4" t="s">
        <v>45</v>
      </c>
      <c r="L16" s="4">
        <v>31</v>
      </c>
      <c r="M16" s="6">
        <v>5339</v>
      </c>
      <c r="N16" s="6">
        <v>165509</v>
      </c>
    </row>
    <row r="17" spans="1:14" x14ac:dyDescent="0.25">
      <c r="A17" s="4" t="s">
        <v>32</v>
      </c>
      <c r="B17" s="4">
        <v>0.5</v>
      </c>
      <c r="C17" s="6">
        <v>3305.08</v>
      </c>
      <c r="D17" s="6">
        <f t="shared" si="0"/>
        <v>1652.54</v>
      </c>
      <c r="F17" s="4" t="s">
        <v>32</v>
      </c>
      <c r="G17" s="4">
        <v>0.5</v>
      </c>
      <c r="H17" s="6">
        <v>3305.08</v>
      </c>
      <c r="I17" s="6">
        <f t="shared" si="1"/>
        <v>1652.54</v>
      </c>
      <c r="K17" s="4" t="s">
        <v>32</v>
      </c>
      <c r="L17" s="4">
        <v>1.5</v>
      </c>
      <c r="M17" s="6">
        <v>3305.08</v>
      </c>
      <c r="N17" s="6">
        <v>4957.62</v>
      </c>
    </row>
    <row r="18" spans="1:14" x14ac:dyDescent="0.25">
      <c r="A18" s="4" t="s">
        <v>33</v>
      </c>
      <c r="B18" s="4">
        <v>1</v>
      </c>
      <c r="C18" s="6">
        <v>8474.57</v>
      </c>
      <c r="D18" s="6">
        <f t="shared" si="0"/>
        <v>8474.57</v>
      </c>
      <c r="F18" s="4" t="s">
        <v>33</v>
      </c>
      <c r="G18" s="4">
        <v>1</v>
      </c>
      <c r="H18" s="6">
        <v>8474.57</v>
      </c>
      <c r="I18" s="6">
        <f t="shared" si="1"/>
        <v>8474.57</v>
      </c>
      <c r="K18" s="4" t="s">
        <v>33</v>
      </c>
      <c r="L18" s="4">
        <v>2</v>
      </c>
      <c r="M18" s="6">
        <v>8474.57</v>
      </c>
      <c r="N18" s="6">
        <v>16949.14</v>
      </c>
    </row>
    <row r="19" spans="1:14" x14ac:dyDescent="0.25">
      <c r="A19" s="4" t="s">
        <v>34</v>
      </c>
      <c r="B19" s="4">
        <v>0.5</v>
      </c>
      <c r="C19" s="6">
        <v>3813.55</v>
      </c>
      <c r="D19" s="6">
        <f t="shared" si="0"/>
        <v>1906.7750000000001</v>
      </c>
      <c r="F19" s="4" t="s">
        <v>34</v>
      </c>
      <c r="G19" s="4">
        <v>0.5</v>
      </c>
      <c r="H19" s="6">
        <v>3813.55</v>
      </c>
      <c r="I19" s="6">
        <f t="shared" si="1"/>
        <v>1906.7750000000001</v>
      </c>
      <c r="K19" s="4" t="s">
        <v>34</v>
      </c>
      <c r="L19" s="4">
        <v>1</v>
      </c>
      <c r="M19" s="6">
        <v>3813.55</v>
      </c>
      <c r="N19" s="6">
        <v>3813.55</v>
      </c>
    </row>
  </sheetData>
  <mergeCells count="4">
    <mergeCell ref="P2:S2"/>
    <mergeCell ref="A2:D2"/>
    <mergeCell ref="F2:I2"/>
    <mergeCell ref="K2:N2"/>
  </mergeCells>
  <pageMargins left="0.70866141732283472" right="0.70866141732283472" top="0.74803149606299213" bottom="0.74803149606299213" header="0.31496062992125984" footer="0.31496062992125984"/>
  <pageSetup paperSize="9" scale="52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7"/>
  <sheetViews>
    <sheetView tabSelected="1" workbookViewId="0">
      <selection activeCell="D28" sqref="D28"/>
    </sheetView>
  </sheetViews>
  <sheetFormatPr baseColWidth="10" defaultRowHeight="15" x14ac:dyDescent="0.25"/>
  <cols>
    <col min="1" max="1" width="22.7109375" bestFit="1" customWidth="1"/>
    <col min="2" max="2" width="10" bestFit="1" customWidth="1"/>
    <col min="3" max="3" width="13.7109375" bestFit="1" customWidth="1"/>
    <col min="4" max="4" width="13" bestFit="1" customWidth="1"/>
  </cols>
  <sheetData>
    <row r="2" spans="1:4" x14ac:dyDescent="0.25">
      <c r="A2" t="s">
        <v>77</v>
      </c>
    </row>
    <row r="4" spans="1:4" x14ac:dyDescent="0.25">
      <c r="A4" s="42" t="s">
        <v>69</v>
      </c>
      <c r="B4" s="42"/>
      <c r="C4" s="42"/>
      <c r="D4" s="42"/>
    </row>
    <row r="5" spans="1:4" x14ac:dyDescent="0.25">
      <c r="A5" s="42"/>
      <c r="B5" s="42"/>
      <c r="C5" s="42"/>
      <c r="D5" s="42"/>
    </row>
    <row r="6" spans="1:4" x14ac:dyDescent="0.25">
      <c r="A6" s="5" t="s">
        <v>18</v>
      </c>
      <c r="B6" s="5" t="s">
        <v>19</v>
      </c>
      <c r="C6" s="5" t="s">
        <v>20</v>
      </c>
      <c r="D6" s="5" t="s">
        <v>36</v>
      </c>
    </row>
    <row r="7" spans="1:4" x14ac:dyDescent="0.25">
      <c r="A7" s="4" t="s">
        <v>21</v>
      </c>
      <c r="B7" s="4">
        <v>70</v>
      </c>
      <c r="C7" s="4">
        <v>910.68</v>
      </c>
      <c r="D7" s="13">
        <v>63747.6</v>
      </c>
    </row>
    <row r="8" spans="1:4" x14ac:dyDescent="0.25">
      <c r="A8" s="4" t="s">
        <v>22</v>
      </c>
      <c r="B8" s="4">
        <v>25</v>
      </c>
      <c r="C8" s="7">
        <v>885</v>
      </c>
      <c r="D8" s="13">
        <v>22125</v>
      </c>
    </row>
    <row r="9" spans="1:4" x14ac:dyDescent="0.25">
      <c r="A9" s="4" t="s">
        <v>23</v>
      </c>
      <c r="B9" s="4">
        <v>100</v>
      </c>
      <c r="C9" s="4">
        <v>1195</v>
      </c>
      <c r="D9" s="13">
        <v>119500</v>
      </c>
    </row>
    <row r="10" spans="1:4" x14ac:dyDescent="0.25">
      <c r="A10" s="4" t="s">
        <v>24</v>
      </c>
      <c r="B10" s="4">
        <v>145</v>
      </c>
      <c r="C10" s="4">
        <v>109.32</v>
      </c>
      <c r="D10" s="13">
        <v>15851.4</v>
      </c>
    </row>
    <row r="11" spans="1:4" x14ac:dyDescent="0.25">
      <c r="A11" s="4" t="s">
        <v>25</v>
      </c>
      <c r="B11" s="4">
        <v>125</v>
      </c>
      <c r="C11" s="6">
        <v>182.2</v>
      </c>
      <c r="D11" s="13">
        <v>22775</v>
      </c>
    </row>
    <row r="12" spans="1:4" x14ac:dyDescent="0.25">
      <c r="A12" s="4" t="s">
        <v>26</v>
      </c>
      <c r="B12" s="4">
        <v>70</v>
      </c>
      <c r="C12" s="4">
        <v>279.66000000000003</v>
      </c>
      <c r="D12" s="13">
        <v>19576.2</v>
      </c>
    </row>
    <row r="13" spans="1:4" x14ac:dyDescent="0.25">
      <c r="A13" s="4" t="s">
        <v>27</v>
      </c>
      <c r="B13" s="4">
        <v>100</v>
      </c>
      <c r="C13" s="4">
        <v>930</v>
      </c>
      <c r="D13" s="13">
        <v>93000</v>
      </c>
    </row>
    <row r="14" spans="1:4" x14ac:dyDescent="0.25">
      <c r="A14" s="4" t="s">
        <v>28</v>
      </c>
      <c r="B14" s="4">
        <v>270</v>
      </c>
      <c r="C14" s="4">
        <v>81.72</v>
      </c>
      <c r="D14" s="13">
        <v>22064.400000000001</v>
      </c>
    </row>
    <row r="15" spans="1:4" x14ac:dyDescent="0.25">
      <c r="A15" s="4" t="s">
        <v>29</v>
      </c>
      <c r="B15" s="4">
        <v>1</v>
      </c>
      <c r="C15" s="6">
        <v>10678.2</v>
      </c>
      <c r="D15" s="13">
        <v>10678.2</v>
      </c>
    </row>
    <row r="16" spans="1:4" x14ac:dyDescent="0.25">
      <c r="A16" s="4" t="s">
        <v>30</v>
      </c>
      <c r="B16" s="4">
        <v>0.5</v>
      </c>
      <c r="C16" s="6">
        <v>6610.17</v>
      </c>
      <c r="D16" s="13">
        <v>3305.085</v>
      </c>
    </row>
    <row r="17" spans="1:4" x14ac:dyDescent="0.25">
      <c r="A17" s="4" t="s">
        <v>31</v>
      </c>
      <c r="B17" s="4">
        <v>10</v>
      </c>
      <c r="C17" s="6">
        <v>6610</v>
      </c>
      <c r="D17" s="13">
        <v>66100</v>
      </c>
    </row>
    <row r="18" spans="1:4" x14ac:dyDescent="0.25">
      <c r="A18" s="4" t="s">
        <v>45</v>
      </c>
      <c r="B18" s="4">
        <v>47</v>
      </c>
      <c r="C18" s="6">
        <v>5339</v>
      </c>
      <c r="D18" s="13">
        <v>250933</v>
      </c>
    </row>
    <row r="19" spans="1:4" x14ac:dyDescent="0.25">
      <c r="A19" s="4" t="s">
        <v>32</v>
      </c>
      <c r="B19" s="4">
        <v>4</v>
      </c>
      <c r="C19" s="6">
        <v>3305.08</v>
      </c>
      <c r="D19" s="13">
        <v>13220.32</v>
      </c>
    </row>
    <row r="20" spans="1:4" x14ac:dyDescent="0.25">
      <c r="A20" s="4" t="s">
        <v>33</v>
      </c>
      <c r="B20" s="4">
        <v>6</v>
      </c>
      <c r="C20" s="6">
        <v>8474.57</v>
      </c>
      <c r="D20" s="13">
        <v>50847.42</v>
      </c>
    </row>
    <row r="21" spans="1:4" x14ac:dyDescent="0.25">
      <c r="A21" s="4" t="s">
        <v>34</v>
      </c>
      <c r="B21" s="4">
        <v>3</v>
      </c>
      <c r="C21" s="6">
        <v>3813.55</v>
      </c>
      <c r="D21" s="13">
        <v>11440.650000000001</v>
      </c>
    </row>
    <row r="22" spans="1:4" x14ac:dyDescent="0.25">
      <c r="A22" s="21" t="s">
        <v>70</v>
      </c>
      <c r="B22" s="4">
        <v>4</v>
      </c>
      <c r="C22" s="4">
        <v>6102</v>
      </c>
      <c r="D22" s="13">
        <v>24408</v>
      </c>
    </row>
    <row r="23" spans="1:4" x14ac:dyDescent="0.25">
      <c r="A23" s="21" t="s">
        <v>71</v>
      </c>
      <c r="B23" s="4">
        <v>34</v>
      </c>
      <c r="C23" s="4">
        <v>1525</v>
      </c>
      <c r="D23" s="13">
        <v>51850</v>
      </c>
    </row>
    <row r="24" spans="1:4" ht="30" x14ac:dyDescent="0.25">
      <c r="C24" s="18" t="s">
        <v>72</v>
      </c>
      <c r="D24" s="22">
        <v>861422.27500000002</v>
      </c>
    </row>
    <row r="25" spans="1:4" x14ac:dyDescent="0.25">
      <c r="C25" s="4" t="s">
        <v>73</v>
      </c>
      <c r="D25" s="12">
        <v>5958.9255326508028</v>
      </c>
    </row>
    <row r="26" spans="1:4" x14ac:dyDescent="0.25">
      <c r="C26" s="4" t="s">
        <v>74</v>
      </c>
      <c r="D26" s="4" t="s">
        <v>75</v>
      </c>
    </row>
    <row r="27" spans="1:4" ht="45" x14ac:dyDescent="0.25">
      <c r="C27" s="18" t="s">
        <v>76</v>
      </c>
      <c r="D27" s="23">
        <v>70000</v>
      </c>
    </row>
  </sheetData>
  <mergeCells count="1">
    <mergeCell ref="A4:D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COTATION</vt:lpstr>
      <vt:lpstr>MATERIELS</vt:lpstr>
      <vt:lpstr>Etimatifs Matériel Joints Creux</vt:lpstr>
      <vt:lpstr>Récap détaillé Matériel Chiffré</vt:lpstr>
      <vt:lpstr>Récap Générale Matériels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JAWAD</cp:lastModifiedBy>
  <cp:lastPrinted>2021-03-17T15:42:44Z</cp:lastPrinted>
  <dcterms:created xsi:type="dcterms:W3CDTF">2020-10-18T20:27:10Z</dcterms:created>
  <dcterms:modified xsi:type="dcterms:W3CDTF">2021-05-31T09:15:55Z</dcterms:modified>
</cp:coreProperties>
</file>