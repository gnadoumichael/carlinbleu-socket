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Récap Etude Estimative" sheetId="3" r:id="rId1"/>
    <sheet name="Etude détaillée estimative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3" l="1"/>
  <c r="E10" i="3"/>
  <c r="D10" i="3"/>
  <c r="F10" i="3" s="1"/>
  <c r="B10" i="3"/>
  <c r="E9" i="3"/>
  <c r="D9" i="3"/>
  <c r="F9" i="3" s="1"/>
  <c r="B9" i="3"/>
  <c r="E8" i="3"/>
  <c r="D8" i="3"/>
  <c r="F8" i="3" s="1"/>
  <c r="B8" i="3"/>
  <c r="E7" i="3"/>
  <c r="D7" i="3"/>
  <c r="D11" i="3" s="1"/>
  <c r="C7" i="3"/>
  <c r="B7" i="3"/>
  <c r="D115" i="2"/>
  <c r="D113" i="2"/>
  <c r="D108" i="2"/>
  <c r="D107" i="2"/>
  <c r="D93" i="2"/>
  <c r="D106" i="2"/>
  <c r="D105" i="2"/>
  <c r="D104" i="2"/>
  <c r="D103" i="2"/>
  <c r="D102" i="2"/>
  <c r="D101" i="2"/>
  <c r="D100" i="2"/>
  <c r="D99" i="2"/>
  <c r="D98" i="2"/>
  <c r="D97" i="2"/>
  <c r="D96" i="2"/>
  <c r="D87" i="2"/>
  <c r="D85" i="2"/>
  <c r="D82" i="2"/>
  <c r="D80" i="2"/>
  <c r="D79" i="2"/>
  <c r="D75" i="2"/>
  <c r="D78" i="2"/>
  <c r="D77" i="2"/>
  <c r="D76" i="2"/>
  <c r="D74" i="2"/>
  <c r="D73" i="2"/>
  <c r="D72" i="2"/>
  <c r="D71" i="2"/>
  <c r="D70" i="2"/>
  <c r="D69" i="2"/>
  <c r="D68" i="2"/>
  <c r="D84" i="2" s="1"/>
  <c r="D65" i="2"/>
  <c r="D59" i="2"/>
  <c r="D57" i="2"/>
  <c r="D56" i="2"/>
  <c r="D54" i="2"/>
  <c r="D52" i="2"/>
  <c r="D51" i="2"/>
  <c r="D50" i="2"/>
  <c r="D49" i="2"/>
  <c r="D48" i="2"/>
  <c r="D47" i="2"/>
  <c r="D46" i="2"/>
  <c r="D45" i="2"/>
  <c r="D44" i="2"/>
  <c r="D43" i="2"/>
  <c r="D42" i="2"/>
  <c r="D41" i="2"/>
  <c r="D38" i="2"/>
  <c r="D31" i="2"/>
  <c r="D29" i="2"/>
  <c r="F7" i="3" l="1"/>
  <c r="F11" i="3" s="1"/>
  <c r="F13" i="3" s="1"/>
  <c r="F14" i="3" s="1"/>
  <c r="D110" i="2"/>
  <c r="D112" i="2" s="1"/>
  <c r="D24" i="2" l="1"/>
  <c r="D23" i="2"/>
  <c r="D22" i="2" l="1"/>
  <c r="D21" i="2" l="1"/>
  <c r="D20" i="2"/>
  <c r="D19" i="2"/>
  <c r="B18" i="2"/>
  <c r="D18" i="2" s="1"/>
  <c r="D17" i="2"/>
  <c r="D16" i="2"/>
  <c r="D14" i="2"/>
  <c r="D10" i="2"/>
  <c r="B15" i="2" s="1"/>
  <c r="D15" i="2" s="1"/>
  <c r="D13" i="2" l="1"/>
  <c r="D26" i="2" s="1"/>
  <c r="D28" i="2" l="1"/>
</calcChain>
</file>

<file path=xl/sharedStrings.xml><?xml version="1.0" encoding="utf-8"?>
<sst xmlns="http://schemas.openxmlformats.org/spreadsheetml/2006/main" count="126" uniqueCount="49">
  <si>
    <t>Cheville à frapper *30</t>
  </si>
  <si>
    <t>Vis auto *1000</t>
  </si>
  <si>
    <t>Rail 70 3ml</t>
  </si>
  <si>
    <t>Vis 25 *1000</t>
  </si>
  <si>
    <t>Enduit de joint</t>
  </si>
  <si>
    <t>Bande à joint</t>
  </si>
  <si>
    <t>Surface Estimative m²</t>
  </si>
  <si>
    <t>Hauteur Estimative</t>
  </si>
  <si>
    <t>Quantité</t>
  </si>
  <si>
    <t>Linéaire Estimative</t>
  </si>
  <si>
    <t>PU HT</t>
  </si>
  <si>
    <t>Montant HT</t>
  </si>
  <si>
    <t>Total HT</t>
  </si>
  <si>
    <t>Total Mat/M²</t>
  </si>
  <si>
    <t>Est MO/M²</t>
  </si>
  <si>
    <t>Total EST/M²</t>
  </si>
  <si>
    <t>Est Vente.m²</t>
  </si>
  <si>
    <t>Marge est./M²</t>
  </si>
  <si>
    <t>Marge est totale</t>
  </si>
  <si>
    <r>
      <rPr>
        <b/>
        <u/>
        <sz val="11"/>
        <color theme="1"/>
        <rFont val="Calibri"/>
        <family val="2"/>
        <scheme val="minor"/>
      </rPr>
      <t>Estimatifs Matériels:</t>
    </r>
    <r>
      <rPr>
        <sz val="11"/>
        <color theme="1"/>
        <rFont val="Calibri"/>
        <family val="2"/>
        <scheme val="minor"/>
      </rPr>
      <t xml:space="preserve"> Cloisons Ep. 10Cm avec 1 isolants 45mm</t>
    </r>
  </si>
  <si>
    <t>Sans Enduit de finition</t>
  </si>
  <si>
    <t>Montant 70 2,5ml</t>
  </si>
  <si>
    <t>Plaques de plâtre BA13 2,5*1,2 Hydro</t>
  </si>
  <si>
    <t>Laine de verre 45mm 14,4</t>
  </si>
  <si>
    <t>Cornière perforée</t>
  </si>
  <si>
    <t>Estimatif PROCREA</t>
  </si>
  <si>
    <t>Surplus Facturation</t>
  </si>
  <si>
    <t>Marge après refacturation</t>
  </si>
  <si>
    <r>
      <rPr>
        <b/>
        <u/>
        <sz val="11"/>
        <color theme="1"/>
        <rFont val="Calibri"/>
        <family val="2"/>
        <scheme val="minor"/>
      </rPr>
      <t>Estimatifs Matériels:</t>
    </r>
    <r>
      <rPr>
        <sz val="11"/>
        <color theme="1"/>
        <rFont val="Calibri"/>
        <family val="2"/>
        <scheme val="minor"/>
      </rPr>
      <t xml:space="preserve"> Doublage</t>
    </r>
  </si>
  <si>
    <t>Rail 48 3ml</t>
  </si>
  <si>
    <t>Montant 48 2,5ml</t>
  </si>
  <si>
    <r>
      <rPr>
        <b/>
        <u/>
        <sz val="11"/>
        <color theme="1"/>
        <rFont val="Calibri"/>
        <family val="2"/>
        <scheme val="minor"/>
      </rPr>
      <t>Estimatifs Matériels:</t>
    </r>
    <r>
      <rPr>
        <sz val="11"/>
        <color theme="1"/>
        <rFont val="Calibri"/>
        <family val="2"/>
        <scheme val="minor"/>
      </rPr>
      <t xml:space="preserve"> GEBERIT 2 Peaux</t>
    </r>
  </si>
  <si>
    <t>Vis 35 *1000</t>
  </si>
  <si>
    <r>
      <rPr>
        <b/>
        <u/>
        <sz val="11"/>
        <color theme="1"/>
        <rFont val="Calibri"/>
        <family val="2"/>
        <scheme val="minor"/>
      </rPr>
      <t>Estimatifs Matériels:</t>
    </r>
    <r>
      <rPr>
        <sz val="11"/>
        <color theme="1"/>
        <rFont val="Calibri"/>
        <family val="2"/>
        <scheme val="minor"/>
      </rPr>
      <t xml:space="preserve"> Linteaux Double Ossature Simple BA13 HYD</t>
    </r>
  </si>
  <si>
    <t>Récap. Estimatif PROCREA</t>
  </si>
  <si>
    <t>Cloisons 96/70 HYD</t>
  </si>
  <si>
    <t>Type de travaux</t>
  </si>
  <si>
    <t>Etimatif Revient HT/m²</t>
  </si>
  <si>
    <t>P.V U HT</t>
  </si>
  <si>
    <t>Doublage</t>
  </si>
  <si>
    <t>Geberit 2 Peaux HYD</t>
  </si>
  <si>
    <t>Linteaux Double Ossature</t>
  </si>
  <si>
    <t>Total</t>
  </si>
  <si>
    <t>Valeur Commission</t>
  </si>
  <si>
    <t xml:space="preserve">Marge totale HT </t>
  </si>
  <si>
    <t>Valeur Surfacturation HT</t>
  </si>
  <si>
    <t>Marge Estimative sur Surface réelle HT</t>
  </si>
  <si>
    <t>Marge Nette</t>
  </si>
  <si>
    <t>Taux de Marge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</si>
</sst>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€_-;\-* #,##0.00\ _€_-;_-* &quot;-&quot;??\ _€_-;_-@_-"/>
    <numFmt numFmtId="165" formatCode="_-* #,##0\ _€_-;\-* #,##0\ _€_-;_-* &quot;-&quot;??\ _€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43" fontId="0" fillId="0" borderId="0" xfId="1" applyFont="1"/>
    <xf numFmtId="43" fontId="0" fillId="0" borderId="0" xfId="1" applyFont="1" applyAlignment="1">
      <alignment horizontal="center"/>
    </xf>
    <xf numFmtId="0" fontId="0" fillId="0" borderId="1" xfId="0" applyBorder="1"/>
    <xf numFmtId="43" fontId="0" fillId="0" borderId="1" xfId="1" applyFont="1" applyBorder="1"/>
    <xf numFmtId="0" fontId="0" fillId="2" borderId="1" xfId="0" applyFill="1" applyBorder="1" applyAlignment="1">
      <alignment vertical="center"/>
    </xf>
    <xf numFmtId="43" fontId="0" fillId="2" borderId="1" xfId="1" applyFont="1" applyFill="1" applyBorder="1" applyAlignment="1">
      <alignment vertical="center"/>
    </xf>
    <xf numFmtId="0" fontId="0" fillId="0" borderId="2" xfId="0" applyBorder="1"/>
    <xf numFmtId="43" fontId="0" fillId="0" borderId="2" xfId="1" applyFont="1" applyBorder="1"/>
    <xf numFmtId="43" fontId="3" fillId="3" borderId="1" xfId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43" fontId="3" fillId="0" borderId="1" xfId="1" applyFont="1" applyBorder="1"/>
    <xf numFmtId="0" fontId="3" fillId="0" borderId="1" xfId="0" applyFont="1" applyBorder="1" applyAlignment="1">
      <alignment horizontal="center"/>
    </xf>
    <xf numFmtId="43" fontId="0" fillId="0" borderId="2" xfId="1" applyFont="1" applyBorder="1" applyAlignment="1">
      <alignment horizontal="center" vertical="center" wrapText="1"/>
    </xf>
    <xf numFmtId="43" fontId="0" fillId="0" borderId="1" xfId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wrapText="1"/>
    </xf>
    <xf numFmtId="43" fontId="3" fillId="3" borderId="1" xfId="1" applyFont="1" applyFill="1" applyBorder="1" applyAlignment="1">
      <alignment horizontal="center" vertical="center"/>
    </xf>
    <xf numFmtId="43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vertical="center" wrapText="1"/>
    </xf>
    <xf numFmtId="165" fontId="0" fillId="0" borderId="3" xfId="1" applyNumberFormat="1" applyFont="1" applyBorder="1" applyAlignment="1">
      <alignment horizontal="center" vertical="center"/>
    </xf>
    <xf numFmtId="165" fontId="0" fillId="0" borderId="1" xfId="0" applyNumberFormat="1" applyBorder="1"/>
    <xf numFmtId="165" fontId="4" fillId="0" borderId="1" xfId="0" applyNumberFormat="1" applyFont="1" applyBorder="1"/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165" fontId="3" fillId="3" borderId="1" xfId="1" applyNumberFormat="1" applyFont="1" applyFill="1" applyBorder="1" applyAlignment="1"/>
    <xf numFmtId="165" fontId="0" fillId="0" borderId="3" xfId="0" applyNumberFormat="1" applyBorder="1"/>
    <xf numFmtId="0" fontId="3" fillId="0" borderId="1" xfId="0" applyFont="1" applyBorder="1"/>
    <xf numFmtId="165" fontId="3" fillId="0" borderId="1" xfId="1" applyNumberFormat="1" applyFont="1" applyBorder="1"/>
    <xf numFmtId="0" fontId="4" fillId="3" borderId="1" xfId="0" applyFont="1" applyFill="1" applyBorder="1"/>
    <xf numFmtId="165" fontId="4" fillId="3" borderId="1" xfId="0" applyNumberFormat="1" applyFont="1" applyFill="1" applyBorder="1"/>
    <xf numFmtId="9" fontId="4" fillId="3" borderId="1" xfId="2" applyFont="1" applyFill="1" applyBorder="1" applyAlignment="1">
      <alignment horizontal="center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4"/>
  <sheetViews>
    <sheetView tabSelected="1" workbookViewId="0">
      <selection activeCell="C14" sqref="C14"/>
    </sheetView>
  </sheetViews>
  <sheetFormatPr baseColWidth="10" defaultRowHeight="15" x14ac:dyDescent="0.25"/>
  <cols>
    <col min="1" max="1" width="19.140625" bestFit="1" customWidth="1"/>
    <col min="2" max="2" width="11.85546875" bestFit="1" customWidth="1"/>
    <col min="3" max="3" width="15.28515625" bestFit="1" customWidth="1"/>
    <col min="4" max="4" width="14.28515625" bestFit="1" customWidth="1"/>
    <col min="5" max="5" width="18.28515625" bestFit="1" customWidth="1"/>
    <col min="6" max="6" width="14.28515625" bestFit="1" customWidth="1"/>
  </cols>
  <sheetData>
    <row r="2" spans="1:6" x14ac:dyDescent="0.25">
      <c r="A2" s="16" t="s">
        <v>34</v>
      </c>
      <c r="B2" s="16"/>
      <c r="C2" s="16"/>
      <c r="D2" s="16"/>
      <c r="E2" s="16"/>
      <c r="F2" s="16"/>
    </row>
    <row r="3" spans="1:6" x14ac:dyDescent="0.25">
      <c r="A3" s="16"/>
      <c r="B3" s="16"/>
      <c r="C3" s="16"/>
      <c r="D3" s="16"/>
      <c r="E3" s="16"/>
      <c r="F3" s="16"/>
    </row>
    <row r="6" spans="1:6" ht="60" x14ac:dyDescent="0.25">
      <c r="A6" s="20" t="s">
        <v>36</v>
      </c>
      <c r="B6" s="24" t="s">
        <v>37</v>
      </c>
      <c r="C6" s="25" t="s">
        <v>38</v>
      </c>
      <c r="D6" s="25" t="s">
        <v>46</v>
      </c>
      <c r="E6" s="25" t="s">
        <v>45</v>
      </c>
      <c r="F6" s="25" t="s">
        <v>44</v>
      </c>
    </row>
    <row r="7" spans="1:6" x14ac:dyDescent="0.25">
      <c r="A7" s="21" t="s">
        <v>35</v>
      </c>
      <c r="B7" s="22">
        <f>+'Etude détaillée estimative'!D26</f>
        <v>11469.912098298677</v>
      </c>
      <c r="C7" s="22">
        <f>+'Etude détaillée estimative'!D27</f>
        <v>16500</v>
      </c>
      <c r="D7" s="26">
        <f>+'Etude détaillée estimative'!D29</f>
        <v>5321833</v>
      </c>
      <c r="E7" s="22">
        <f>+'Etude détaillée estimative'!D30</f>
        <v>873015</v>
      </c>
      <c r="F7" s="22">
        <f>+E7+D7</f>
        <v>6194848</v>
      </c>
    </row>
    <row r="8" spans="1:6" x14ac:dyDescent="0.25">
      <c r="A8" s="21" t="s">
        <v>39</v>
      </c>
      <c r="B8" s="22">
        <f>+'Etude détaillée estimative'!D54</f>
        <v>6493.727272727273</v>
      </c>
      <c r="C8" s="22">
        <v>11000</v>
      </c>
      <c r="D8" s="26">
        <f>+'Etude détaillée estimative'!D57</f>
        <v>1685346</v>
      </c>
      <c r="E8" s="22">
        <f>+'Etude détaillée estimative'!D58</f>
        <v>205810</v>
      </c>
      <c r="F8" s="22">
        <f>+E8+D8</f>
        <v>1891156</v>
      </c>
    </row>
    <row r="9" spans="1:6" x14ac:dyDescent="0.25">
      <c r="A9" s="21" t="s">
        <v>40</v>
      </c>
      <c r="B9" s="22">
        <f>+'Etude détaillée estimative'!D82</f>
        <v>9182.2583333333332</v>
      </c>
      <c r="C9" s="22">
        <v>12500</v>
      </c>
      <c r="D9" s="26">
        <f>+'Etude détaillée estimative'!D85</f>
        <v>716632.20000000007</v>
      </c>
      <c r="E9" s="22">
        <f>+'Etude détaillée estimative'!D86</f>
        <v>1526125</v>
      </c>
      <c r="F9" s="22">
        <f>+E9+D9</f>
        <v>2242757.2000000002</v>
      </c>
    </row>
    <row r="10" spans="1:6" ht="30" x14ac:dyDescent="0.25">
      <c r="A10" s="23" t="s">
        <v>41</v>
      </c>
      <c r="B10" s="22">
        <f>+'Etude détaillée estimative'!D110</f>
        <v>14703.78991345867</v>
      </c>
      <c r="C10" s="22">
        <v>18000</v>
      </c>
      <c r="D10" s="26">
        <f>+'Etude détaillée estimative'!D113</f>
        <v>331367.99999999994</v>
      </c>
      <c r="E10" s="22">
        <f>+'Etude détaillée estimative'!D114</f>
        <v>813420</v>
      </c>
      <c r="F10" s="22">
        <f>+E10+D10</f>
        <v>1144788</v>
      </c>
    </row>
    <row r="11" spans="1:6" x14ac:dyDescent="0.25">
      <c r="A11" s="29" t="s">
        <v>42</v>
      </c>
      <c r="B11" s="30"/>
      <c r="C11" s="31">
        <v>29510939</v>
      </c>
      <c r="D11" s="32">
        <f>SUM(D7:D10)</f>
        <v>8055179.2000000002</v>
      </c>
      <c r="E11" s="27">
        <f>SUM(E7:E10)</f>
        <v>3418370</v>
      </c>
      <c r="F11" s="28">
        <f>SUM(F7:F10)</f>
        <v>11473549.199999999</v>
      </c>
    </row>
    <row r="12" spans="1:6" x14ac:dyDescent="0.25">
      <c r="E12" s="33" t="s">
        <v>43</v>
      </c>
      <c r="F12" s="34">
        <v>1500000</v>
      </c>
    </row>
    <row r="13" spans="1:6" x14ac:dyDescent="0.25">
      <c r="E13" s="35" t="s">
        <v>47</v>
      </c>
      <c r="F13" s="36">
        <f>+F11-F12</f>
        <v>9973549.1999999993</v>
      </c>
    </row>
    <row r="14" spans="1:6" x14ac:dyDescent="0.25">
      <c r="E14" s="35" t="s">
        <v>48</v>
      </c>
      <c r="F14" s="37">
        <f>+F13/C11</f>
        <v>0.33796109300351301</v>
      </c>
    </row>
  </sheetData>
  <mergeCells count="2">
    <mergeCell ref="A2:F3"/>
    <mergeCell ref="A11:B11"/>
  </mergeCells>
  <pageMargins left="0.25" right="0.25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15"/>
  <sheetViews>
    <sheetView topLeftCell="A31" workbookViewId="0">
      <selection activeCell="A2" sqref="A2:D3"/>
    </sheetView>
  </sheetViews>
  <sheetFormatPr baseColWidth="10" defaultRowHeight="15" x14ac:dyDescent="0.25"/>
  <cols>
    <col min="1" max="1" width="55.7109375" bestFit="1" customWidth="1"/>
    <col min="3" max="3" width="18.140625" bestFit="1" customWidth="1"/>
    <col min="4" max="4" width="15.28515625" bestFit="1" customWidth="1"/>
    <col min="6" max="6" width="14.28515625" bestFit="1" customWidth="1"/>
  </cols>
  <sheetData>
    <row r="2" spans="1:4" x14ac:dyDescent="0.25">
      <c r="A2" s="16" t="s">
        <v>25</v>
      </c>
      <c r="B2" s="16"/>
      <c r="C2" s="16"/>
      <c r="D2" s="16"/>
    </row>
    <row r="3" spans="1:4" x14ac:dyDescent="0.25">
      <c r="A3" s="16"/>
      <c r="B3" s="16"/>
      <c r="C3" s="16"/>
      <c r="D3" s="16"/>
    </row>
    <row r="6" spans="1:4" x14ac:dyDescent="0.25">
      <c r="A6" t="s">
        <v>19</v>
      </c>
      <c r="B6" s="2"/>
      <c r="D6" s="2"/>
    </row>
    <row r="7" spans="1:4" x14ac:dyDescent="0.25">
      <c r="B7" s="2"/>
      <c r="D7" s="2"/>
    </row>
    <row r="8" spans="1:4" x14ac:dyDescent="0.25">
      <c r="B8" s="13" t="s">
        <v>6</v>
      </c>
      <c r="C8" s="13"/>
      <c r="D8" s="12">
        <v>1058</v>
      </c>
    </row>
    <row r="9" spans="1:4" x14ac:dyDescent="0.25">
      <c r="B9" s="13" t="s">
        <v>7</v>
      </c>
      <c r="C9" s="13"/>
      <c r="D9" s="12">
        <v>3.38</v>
      </c>
    </row>
    <row r="10" spans="1:4" x14ac:dyDescent="0.25">
      <c r="B10" s="13" t="s">
        <v>9</v>
      </c>
      <c r="C10" s="13"/>
      <c r="D10" s="12">
        <f>+D8/D9</f>
        <v>313.01775147928993</v>
      </c>
    </row>
    <row r="11" spans="1:4" x14ac:dyDescent="0.25">
      <c r="B11" s="3"/>
      <c r="C11" s="1"/>
      <c r="D11" s="2"/>
    </row>
    <row r="12" spans="1:4" x14ac:dyDescent="0.25">
      <c r="B12" s="10" t="s">
        <v>8</v>
      </c>
      <c r="C12" s="11" t="s">
        <v>10</v>
      </c>
      <c r="D12" s="10" t="s">
        <v>11</v>
      </c>
    </row>
    <row r="13" spans="1:4" x14ac:dyDescent="0.25">
      <c r="A13" s="4" t="s">
        <v>2</v>
      </c>
      <c r="B13" s="5">
        <v>210</v>
      </c>
      <c r="C13" s="4">
        <v>2118</v>
      </c>
      <c r="D13" s="5">
        <f>+C13*B13</f>
        <v>444780</v>
      </c>
    </row>
    <row r="14" spans="1:4" x14ac:dyDescent="0.25">
      <c r="A14" s="4" t="s">
        <v>21</v>
      </c>
      <c r="B14" s="5">
        <v>690</v>
      </c>
      <c r="C14" s="4">
        <v>2415</v>
      </c>
      <c r="D14" s="5">
        <f t="shared" ref="D14:D22" si="0">+C14*B14</f>
        <v>1666350</v>
      </c>
    </row>
    <row r="15" spans="1:4" x14ac:dyDescent="0.25">
      <c r="A15" s="4" t="s">
        <v>0</v>
      </c>
      <c r="B15" s="5">
        <f>+((B13*3)/0.3)/30</f>
        <v>70</v>
      </c>
      <c r="C15" s="4">
        <v>885</v>
      </c>
      <c r="D15" s="5">
        <f t="shared" si="0"/>
        <v>61950</v>
      </c>
    </row>
    <row r="16" spans="1:4" x14ac:dyDescent="0.25">
      <c r="A16" s="4" t="s">
        <v>1</v>
      </c>
      <c r="B16" s="5">
        <v>3</v>
      </c>
      <c r="C16" s="4">
        <v>6610</v>
      </c>
      <c r="D16" s="5">
        <f t="shared" si="0"/>
        <v>19830</v>
      </c>
    </row>
    <row r="17" spans="1:6" x14ac:dyDescent="0.25">
      <c r="A17" s="4" t="s">
        <v>23</v>
      </c>
      <c r="B17" s="5">
        <v>75</v>
      </c>
      <c r="C17" s="4">
        <v>30000</v>
      </c>
      <c r="D17" s="5">
        <f t="shared" si="0"/>
        <v>2250000</v>
      </c>
    </row>
    <row r="18" spans="1:6" x14ac:dyDescent="0.25">
      <c r="A18" s="4" t="s">
        <v>22</v>
      </c>
      <c r="B18" s="5">
        <f>+(D8*2*1.05)/3</f>
        <v>740.6</v>
      </c>
      <c r="C18" s="4">
        <v>6610</v>
      </c>
      <c r="D18" s="5">
        <f t="shared" si="0"/>
        <v>4895366</v>
      </c>
    </row>
    <row r="19" spans="1:6" x14ac:dyDescent="0.25">
      <c r="A19" s="4" t="s">
        <v>3</v>
      </c>
      <c r="B19" s="5">
        <v>35</v>
      </c>
      <c r="C19" s="4">
        <v>3305</v>
      </c>
      <c r="D19" s="5">
        <f t="shared" si="0"/>
        <v>115675</v>
      </c>
    </row>
    <row r="20" spans="1:6" x14ac:dyDescent="0.25">
      <c r="A20" s="4" t="s">
        <v>4</v>
      </c>
      <c r="B20" s="5">
        <v>45</v>
      </c>
      <c r="C20" s="4">
        <v>8474</v>
      </c>
      <c r="D20" s="5">
        <f t="shared" si="0"/>
        <v>381330</v>
      </c>
    </row>
    <row r="21" spans="1:6" x14ac:dyDescent="0.25">
      <c r="A21" s="4" t="s">
        <v>5</v>
      </c>
      <c r="B21" s="5">
        <v>22</v>
      </c>
      <c r="C21" s="4">
        <v>3813</v>
      </c>
      <c r="D21" s="5">
        <f t="shared" si="0"/>
        <v>83886</v>
      </c>
    </row>
    <row r="22" spans="1:6" x14ac:dyDescent="0.25">
      <c r="A22" s="4" t="s">
        <v>24</v>
      </c>
      <c r="B22" s="5">
        <v>100</v>
      </c>
      <c r="C22" s="4">
        <v>1000</v>
      </c>
      <c r="D22" s="5">
        <f t="shared" si="0"/>
        <v>100000</v>
      </c>
    </row>
    <row r="23" spans="1:6" x14ac:dyDescent="0.25">
      <c r="B23" s="14" t="s">
        <v>20</v>
      </c>
      <c r="C23" s="8" t="s">
        <v>12</v>
      </c>
      <c r="D23" s="9">
        <f>SUM(D13:D22)</f>
        <v>10019167</v>
      </c>
    </row>
    <row r="24" spans="1:6" x14ac:dyDescent="0.25">
      <c r="B24" s="15"/>
      <c r="C24" s="4" t="s">
        <v>13</v>
      </c>
      <c r="D24" s="5">
        <f>+D23/D8</f>
        <v>9469.9120982986769</v>
      </c>
    </row>
    <row r="25" spans="1:6" x14ac:dyDescent="0.25">
      <c r="B25" s="15"/>
      <c r="C25" s="4" t="s">
        <v>14</v>
      </c>
      <c r="D25" s="5">
        <v>2000</v>
      </c>
    </row>
    <row r="26" spans="1:6" x14ac:dyDescent="0.25">
      <c r="B26" s="15"/>
      <c r="C26" s="4" t="s">
        <v>15</v>
      </c>
      <c r="D26" s="5">
        <f>+D25+D24</f>
        <v>11469.912098298677</v>
      </c>
      <c r="F26" s="2"/>
    </row>
    <row r="27" spans="1:6" x14ac:dyDescent="0.25">
      <c r="B27" s="15"/>
      <c r="C27" s="6" t="s">
        <v>16</v>
      </c>
      <c r="D27" s="7">
        <v>16500</v>
      </c>
    </row>
    <row r="28" spans="1:6" x14ac:dyDescent="0.25">
      <c r="B28" s="15"/>
      <c r="C28" s="4" t="s">
        <v>17</v>
      </c>
      <c r="D28" s="5">
        <f>+D27-D26</f>
        <v>5030.0879017013231</v>
      </c>
    </row>
    <row r="29" spans="1:6" x14ac:dyDescent="0.25">
      <c r="B29" s="15"/>
      <c r="C29" s="4" t="s">
        <v>18</v>
      </c>
      <c r="D29" s="5">
        <f>+D28*D8</f>
        <v>5321833</v>
      </c>
    </row>
    <row r="30" spans="1:6" x14ac:dyDescent="0.25">
      <c r="C30" s="17" t="s">
        <v>26</v>
      </c>
      <c r="D30" s="18">
        <v>873015</v>
      </c>
    </row>
    <row r="31" spans="1:6" ht="30" x14ac:dyDescent="0.25">
      <c r="C31" s="17" t="s">
        <v>27</v>
      </c>
      <c r="D31" s="19">
        <f>+D30+D29</f>
        <v>6194848</v>
      </c>
    </row>
    <row r="34" spans="1:4" x14ac:dyDescent="0.25">
      <c r="A34" t="s">
        <v>28</v>
      </c>
      <c r="B34" s="2"/>
      <c r="D34" s="2"/>
    </row>
    <row r="35" spans="1:4" x14ac:dyDescent="0.25">
      <c r="B35" s="2"/>
      <c r="D35" s="2"/>
    </row>
    <row r="36" spans="1:4" x14ac:dyDescent="0.25">
      <c r="B36" s="13" t="s">
        <v>6</v>
      </c>
      <c r="C36" s="13"/>
      <c r="D36" s="12">
        <v>374</v>
      </c>
    </row>
    <row r="37" spans="1:4" x14ac:dyDescent="0.25">
      <c r="B37" s="13" t="s">
        <v>7</v>
      </c>
      <c r="C37" s="13"/>
      <c r="D37" s="12">
        <v>3.38</v>
      </c>
    </row>
    <row r="38" spans="1:4" x14ac:dyDescent="0.25">
      <c r="B38" s="13" t="s">
        <v>9</v>
      </c>
      <c r="C38" s="13"/>
      <c r="D38" s="12">
        <f>+D36/D37</f>
        <v>110.6508875739645</v>
      </c>
    </row>
    <row r="39" spans="1:4" x14ac:dyDescent="0.25">
      <c r="B39" s="3"/>
      <c r="C39" s="1"/>
      <c r="D39" s="2"/>
    </row>
    <row r="40" spans="1:4" x14ac:dyDescent="0.25">
      <c r="B40" s="10" t="s">
        <v>8</v>
      </c>
      <c r="C40" s="11" t="s">
        <v>10</v>
      </c>
      <c r="D40" s="10" t="s">
        <v>11</v>
      </c>
    </row>
    <row r="41" spans="1:4" x14ac:dyDescent="0.25">
      <c r="A41" s="4" t="s">
        <v>29</v>
      </c>
      <c r="B41" s="5">
        <v>80</v>
      </c>
      <c r="C41" s="4">
        <v>1525</v>
      </c>
      <c r="D41" s="5">
        <f>+C41*B41</f>
        <v>122000</v>
      </c>
    </row>
    <row r="42" spans="1:4" x14ac:dyDescent="0.25">
      <c r="A42" s="4" t="s">
        <v>30</v>
      </c>
      <c r="B42" s="5">
        <v>390</v>
      </c>
      <c r="C42" s="4">
        <v>1525</v>
      </c>
      <c r="D42" s="5">
        <f t="shared" ref="D42:D50" si="1">+C42*B42</f>
        <v>594750</v>
      </c>
    </row>
    <row r="43" spans="1:4" x14ac:dyDescent="0.25">
      <c r="A43" s="4" t="s">
        <v>0</v>
      </c>
      <c r="B43" s="5">
        <v>28</v>
      </c>
      <c r="C43" s="4">
        <v>885</v>
      </c>
      <c r="D43" s="5">
        <f t="shared" si="1"/>
        <v>24780</v>
      </c>
    </row>
    <row r="44" spans="1:4" x14ac:dyDescent="0.25">
      <c r="A44" s="4" t="s">
        <v>1</v>
      </c>
      <c r="B44" s="5">
        <v>3</v>
      </c>
      <c r="C44" s="4">
        <v>6610</v>
      </c>
      <c r="D44" s="5">
        <f t="shared" si="1"/>
        <v>19830</v>
      </c>
    </row>
    <row r="45" spans="1:4" x14ac:dyDescent="0.25">
      <c r="A45" s="4" t="s">
        <v>23</v>
      </c>
      <c r="B45" s="5">
        <v>0</v>
      </c>
      <c r="C45" s="4">
        <v>30000</v>
      </c>
      <c r="D45" s="5">
        <f t="shared" si="1"/>
        <v>0</v>
      </c>
    </row>
    <row r="46" spans="1:4" x14ac:dyDescent="0.25">
      <c r="A46" s="4" t="s">
        <v>22</v>
      </c>
      <c r="B46" s="5">
        <v>132</v>
      </c>
      <c r="C46" s="4">
        <v>6610</v>
      </c>
      <c r="D46" s="5">
        <f t="shared" si="1"/>
        <v>872520</v>
      </c>
    </row>
    <row r="47" spans="1:4" x14ac:dyDescent="0.25">
      <c r="A47" s="4" t="s">
        <v>3</v>
      </c>
      <c r="B47" s="5">
        <v>6</v>
      </c>
      <c r="C47" s="4">
        <v>3305</v>
      </c>
      <c r="D47" s="5">
        <f t="shared" si="1"/>
        <v>19830</v>
      </c>
    </row>
    <row r="48" spans="1:4" x14ac:dyDescent="0.25">
      <c r="A48" s="4" t="s">
        <v>4</v>
      </c>
      <c r="B48" s="5">
        <v>8</v>
      </c>
      <c r="C48" s="4">
        <v>8474</v>
      </c>
      <c r="D48" s="5">
        <f t="shared" si="1"/>
        <v>67792</v>
      </c>
    </row>
    <row r="49" spans="1:4" x14ac:dyDescent="0.25">
      <c r="A49" s="4" t="s">
        <v>5</v>
      </c>
      <c r="B49" s="5">
        <v>4</v>
      </c>
      <c r="C49" s="4">
        <v>3813</v>
      </c>
      <c r="D49" s="5">
        <f t="shared" si="1"/>
        <v>15252</v>
      </c>
    </row>
    <row r="50" spans="1:4" x14ac:dyDescent="0.25">
      <c r="A50" s="4" t="s">
        <v>24</v>
      </c>
      <c r="B50" s="5">
        <v>0</v>
      </c>
      <c r="C50" s="4">
        <v>1000</v>
      </c>
      <c r="D50" s="5">
        <f t="shared" si="1"/>
        <v>0</v>
      </c>
    </row>
    <row r="51" spans="1:4" x14ac:dyDescent="0.25">
      <c r="B51" s="14" t="s">
        <v>20</v>
      </c>
      <c r="C51" s="8" t="s">
        <v>12</v>
      </c>
      <c r="D51" s="9">
        <f>SUM(D41:D50)</f>
        <v>1736754</v>
      </c>
    </row>
    <row r="52" spans="1:4" x14ac:dyDescent="0.25">
      <c r="B52" s="15"/>
      <c r="C52" s="4" t="s">
        <v>13</v>
      </c>
      <c r="D52" s="5">
        <f>+D51/374</f>
        <v>4643.727272727273</v>
      </c>
    </row>
    <row r="53" spans="1:4" x14ac:dyDescent="0.25">
      <c r="B53" s="15"/>
      <c r="C53" s="4" t="s">
        <v>14</v>
      </c>
      <c r="D53" s="5">
        <v>1850</v>
      </c>
    </row>
    <row r="54" spans="1:4" x14ac:dyDescent="0.25">
      <c r="B54" s="15"/>
      <c r="C54" s="4" t="s">
        <v>15</v>
      </c>
      <c r="D54" s="5">
        <f>+D53+D52</f>
        <v>6493.727272727273</v>
      </c>
    </row>
    <row r="55" spans="1:4" x14ac:dyDescent="0.25">
      <c r="B55" s="15"/>
      <c r="C55" s="6" t="s">
        <v>16</v>
      </c>
      <c r="D55" s="7">
        <v>11000</v>
      </c>
    </row>
    <row r="56" spans="1:4" x14ac:dyDescent="0.25">
      <c r="B56" s="15"/>
      <c r="C56" s="4" t="s">
        <v>17</v>
      </c>
      <c r="D56" s="5">
        <f>+D55-D54</f>
        <v>4506.272727272727</v>
      </c>
    </row>
    <row r="57" spans="1:4" x14ac:dyDescent="0.25">
      <c r="B57" s="15"/>
      <c r="C57" s="4" t="s">
        <v>18</v>
      </c>
      <c r="D57" s="5">
        <f>+D56*D36</f>
        <v>1685346</v>
      </c>
    </row>
    <row r="58" spans="1:4" x14ac:dyDescent="0.25">
      <c r="C58" s="17" t="s">
        <v>26</v>
      </c>
      <c r="D58" s="18">
        <v>205810</v>
      </c>
    </row>
    <row r="59" spans="1:4" ht="30" x14ac:dyDescent="0.25">
      <c r="C59" s="17" t="s">
        <v>27</v>
      </c>
      <c r="D59" s="19">
        <f>+D58+D57</f>
        <v>1891156</v>
      </c>
    </row>
    <row r="61" spans="1:4" x14ac:dyDescent="0.25">
      <c r="A61" t="s">
        <v>31</v>
      </c>
      <c r="B61" s="2"/>
      <c r="D61" s="2"/>
    </row>
    <row r="62" spans="1:4" x14ac:dyDescent="0.25">
      <c r="B62" s="2"/>
      <c r="D62" s="2"/>
    </row>
    <row r="63" spans="1:4" x14ac:dyDescent="0.25">
      <c r="B63" s="13" t="s">
        <v>6</v>
      </c>
      <c r="C63" s="13"/>
      <c r="D63" s="12">
        <v>216</v>
      </c>
    </row>
    <row r="64" spans="1:4" x14ac:dyDescent="0.25">
      <c r="B64" s="13" t="s">
        <v>7</v>
      </c>
      <c r="C64" s="13"/>
      <c r="D64" s="12">
        <v>3.38</v>
      </c>
    </row>
    <row r="65" spans="1:4" x14ac:dyDescent="0.25">
      <c r="B65" s="13" t="s">
        <v>9</v>
      </c>
      <c r="C65" s="13"/>
      <c r="D65" s="12">
        <f>+D63/D64</f>
        <v>63.905325443786985</v>
      </c>
    </row>
    <row r="66" spans="1:4" x14ac:dyDescent="0.25">
      <c r="B66" s="3"/>
      <c r="C66" s="1"/>
      <c r="D66" s="2"/>
    </row>
    <row r="67" spans="1:4" x14ac:dyDescent="0.25">
      <c r="B67" s="10" t="s">
        <v>8</v>
      </c>
      <c r="C67" s="11" t="s">
        <v>10</v>
      </c>
      <c r="D67" s="10" t="s">
        <v>11</v>
      </c>
    </row>
    <row r="68" spans="1:4" x14ac:dyDescent="0.25">
      <c r="A68" s="4" t="s">
        <v>29</v>
      </c>
      <c r="B68" s="5">
        <v>45</v>
      </c>
      <c r="C68" s="4">
        <v>1525</v>
      </c>
      <c r="D68" s="5">
        <f>+C68*B68</f>
        <v>68625</v>
      </c>
    </row>
    <row r="69" spans="1:4" x14ac:dyDescent="0.25">
      <c r="A69" s="4" t="s">
        <v>30</v>
      </c>
      <c r="B69" s="5">
        <v>200</v>
      </c>
      <c r="C69" s="4">
        <v>1525</v>
      </c>
      <c r="D69" s="5">
        <f t="shared" ref="D69:D78" si="2">+C69*B69</f>
        <v>305000</v>
      </c>
    </row>
    <row r="70" spans="1:4" x14ac:dyDescent="0.25">
      <c r="A70" s="4" t="s">
        <v>0</v>
      </c>
      <c r="B70" s="5">
        <v>15</v>
      </c>
      <c r="C70" s="4">
        <v>885</v>
      </c>
      <c r="D70" s="5">
        <f t="shared" si="2"/>
        <v>13275</v>
      </c>
    </row>
    <row r="71" spans="1:4" x14ac:dyDescent="0.25">
      <c r="A71" s="4" t="s">
        <v>1</v>
      </c>
      <c r="B71" s="5">
        <v>1</v>
      </c>
      <c r="C71" s="4">
        <v>6610</v>
      </c>
      <c r="D71" s="5">
        <f t="shared" si="2"/>
        <v>6610</v>
      </c>
    </row>
    <row r="72" spans="1:4" x14ac:dyDescent="0.25">
      <c r="A72" s="4" t="s">
        <v>23</v>
      </c>
      <c r="B72" s="5">
        <v>0</v>
      </c>
      <c r="C72" s="4">
        <v>30000</v>
      </c>
      <c r="D72" s="5">
        <f t="shared" si="2"/>
        <v>0</v>
      </c>
    </row>
    <row r="73" spans="1:4" x14ac:dyDescent="0.25">
      <c r="A73" s="4" t="s">
        <v>22</v>
      </c>
      <c r="B73" s="5">
        <v>150</v>
      </c>
      <c r="C73" s="4">
        <v>6610</v>
      </c>
      <c r="D73" s="5">
        <f t="shared" si="2"/>
        <v>991500</v>
      </c>
    </row>
    <row r="74" spans="1:4" x14ac:dyDescent="0.25">
      <c r="A74" s="4" t="s">
        <v>3</v>
      </c>
      <c r="B74" s="5">
        <v>4</v>
      </c>
      <c r="C74" s="4">
        <v>3305</v>
      </c>
      <c r="D74" s="5">
        <f t="shared" si="2"/>
        <v>13220</v>
      </c>
    </row>
    <row r="75" spans="1:4" x14ac:dyDescent="0.25">
      <c r="A75" s="4" t="s">
        <v>32</v>
      </c>
      <c r="B75" s="5">
        <v>4</v>
      </c>
      <c r="C75" s="4">
        <v>5932.2</v>
      </c>
      <c r="D75" s="5">
        <f t="shared" si="2"/>
        <v>23728.799999999999</v>
      </c>
    </row>
    <row r="76" spans="1:4" x14ac:dyDescent="0.25">
      <c r="A76" s="4" t="s">
        <v>4</v>
      </c>
      <c r="B76" s="5">
        <v>5</v>
      </c>
      <c r="C76" s="4">
        <v>8474</v>
      </c>
      <c r="D76" s="5">
        <f t="shared" si="2"/>
        <v>42370</v>
      </c>
    </row>
    <row r="77" spans="1:4" x14ac:dyDescent="0.25">
      <c r="A77" s="4" t="s">
        <v>5</v>
      </c>
      <c r="B77" s="5">
        <v>3</v>
      </c>
      <c r="C77" s="4">
        <v>3813</v>
      </c>
      <c r="D77" s="5">
        <f t="shared" si="2"/>
        <v>11439</v>
      </c>
    </row>
    <row r="78" spans="1:4" x14ac:dyDescent="0.25">
      <c r="A78" s="4" t="s">
        <v>24</v>
      </c>
      <c r="B78" s="5">
        <v>0</v>
      </c>
      <c r="C78" s="4">
        <v>1000</v>
      </c>
      <c r="D78" s="5">
        <f t="shared" si="2"/>
        <v>0</v>
      </c>
    </row>
    <row r="79" spans="1:4" x14ac:dyDescent="0.25">
      <c r="B79" s="14" t="s">
        <v>20</v>
      </c>
      <c r="C79" s="8" t="s">
        <v>12</v>
      </c>
      <c r="D79" s="9">
        <f>SUM(D68:D78)</f>
        <v>1475767.8</v>
      </c>
    </row>
    <row r="80" spans="1:4" x14ac:dyDescent="0.25">
      <c r="B80" s="15"/>
      <c r="C80" s="4" t="s">
        <v>13</v>
      </c>
      <c r="D80" s="5">
        <f>+D79/D63</f>
        <v>6832.2583333333332</v>
      </c>
    </row>
    <row r="81" spans="1:4" x14ac:dyDescent="0.25">
      <c r="B81" s="15"/>
      <c r="C81" s="4" t="s">
        <v>14</v>
      </c>
      <c r="D81" s="5">
        <v>2350</v>
      </c>
    </row>
    <row r="82" spans="1:4" x14ac:dyDescent="0.25">
      <c r="B82" s="15"/>
      <c r="C82" s="4" t="s">
        <v>15</v>
      </c>
      <c r="D82" s="5">
        <f>+D81+D80</f>
        <v>9182.2583333333332</v>
      </c>
    </row>
    <row r="83" spans="1:4" x14ac:dyDescent="0.25">
      <c r="B83" s="15"/>
      <c r="C83" s="6" t="s">
        <v>16</v>
      </c>
      <c r="D83" s="7">
        <v>12500</v>
      </c>
    </row>
    <row r="84" spans="1:4" x14ac:dyDescent="0.25">
      <c r="B84" s="15"/>
      <c r="C84" s="4" t="s">
        <v>17</v>
      </c>
      <c r="D84" s="5">
        <f>+D83-D82</f>
        <v>3317.7416666666668</v>
      </c>
    </row>
    <row r="85" spans="1:4" x14ac:dyDescent="0.25">
      <c r="B85" s="15"/>
      <c r="C85" s="4" t="s">
        <v>18</v>
      </c>
      <c r="D85" s="5">
        <f>+D84*D63</f>
        <v>716632.20000000007</v>
      </c>
    </row>
    <row r="86" spans="1:4" x14ac:dyDescent="0.25">
      <c r="C86" s="17" t="s">
        <v>26</v>
      </c>
      <c r="D86" s="18">
        <v>1526125</v>
      </c>
    </row>
    <row r="87" spans="1:4" ht="30" x14ac:dyDescent="0.25">
      <c r="C87" s="17" t="s">
        <v>27</v>
      </c>
      <c r="D87" s="19">
        <f>+D86+D85</f>
        <v>2242757.2000000002</v>
      </c>
    </row>
    <row r="89" spans="1:4" x14ac:dyDescent="0.25">
      <c r="A89" t="s">
        <v>33</v>
      </c>
      <c r="B89" s="2"/>
      <c r="D89" s="2"/>
    </row>
    <row r="90" spans="1:4" x14ac:dyDescent="0.25">
      <c r="B90" s="2"/>
      <c r="D90" s="2"/>
    </row>
    <row r="91" spans="1:4" x14ac:dyDescent="0.25">
      <c r="B91" s="13" t="s">
        <v>6</v>
      </c>
      <c r="C91" s="13"/>
      <c r="D91" s="12">
        <v>100.53</v>
      </c>
    </row>
    <row r="92" spans="1:4" x14ac:dyDescent="0.25">
      <c r="B92" s="13" t="s">
        <v>7</v>
      </c>
      <c r="C92" s="13"/>
      <c r="D92" s="12">
        <v>1.28</v>
      </c>
    </row>
    <row r="93" spans="1:4" x14ac:dyDescent="0.25">
      <c r="B93" s="13" t="s">
        <v>9</v>
      </c>
      <c r="C93" s="13"/>
      <c r="D93" s="12">
        <f>+D91/D92</f>
        <v>78.5390625</v>
      </c>
    </row>
    <row r="94" spans="1:4" x14ac:dyDescent="0.25">
      <c r="B94" s="3"/>
      <c r="C94" s="1"/>
      <c r="D94" s="2"/>
    </row>
    <row r="95" spans="1:4" x14ac:dyDescent="0.25">
      <c r="B95" s="10" t="s">
        <v>8</v>
      </c>
      <c r="C95" s="11" t="s">
        <v>10</v>
      </c>
      <c r="D95" s="10" t="s">
        <v>11</v>
      </c>
    </row>
    <row r="96" spans="1:4" x14ac:dyDescent="0.25">
      <c r="A96" s="4" t="s">
        <v>29</v>
      </c>
      <c r="B96" s="5">
        <v>105</v>
      </c>
      <c r="C96" s="4">
        <v>1525</v>
      </c>
      <c r="D96" s="5">
        <f>+C96*B96</f>
        <v>160125</v>
      </c>
    </row>
    <row r="97" spans="1:4" x14ac:dyDescent="0.25">
      <c r="A97" s="4" t="s">
        <v>30</v>
      </c>
      <c r="B97" s="5">
        <v>200</v>
      </c>
      <c r="C97" s="4">
        <v>1525</v>
      </c>
      <c r="D97" s="5">
        <f t="shared" ref="D97:D106" si="3">+C97*B97</f>
        <v>305000</v>
      </c>
    </row>
    <row r="98" spans="1:4" x14ac:dyDescent="0.25">
      <c r="A98" s="4" t="s">
        <v>0</v>
      </c>
      <c r="B98" s="5">
        <v>35</v>
      </c>
      <c r="C98" s="4">
        <v>885</v>
      </c>
      <c r="D98" s="5">
        <f t="shared" si="3"/>
        <v>30975</v>
      </c>
    </row>
    <row r="99" spans="1:4" x14ac:dyDescent="0.25">
      <c r="A99" s="4" t="s">
        <v>1</v>
      </c>
      <c r="B99" s="5">
        <v>1</v>
      </c>
      <c r="C99" s="4">
        <v>6610</v>
      </c>
      <c r="D99" s="5">
        <f t="shared" si="3"/>
        <v>6610</v>
      </c>
    </row>
    <row r="100" spans="1:4" x14ac:dyDescent="0.25">
      <c r="A100" s="4" t="s">
        <v>23</v>
      </c>
      <c r="B100" s="5">
        <v>7</v>
      </c>
      <c r="C100" s="4">
        <v>30000</v>
      </c>
      <c r="D100" s="5">
        <f t="shared" si="3"/>
        <v>210000</v>
      </c>
    </row>
    <row r="101" spans="1:4" x14ac:dyDescent="0.25">
      <c r="A101" s="4" t="s">
        <v>22</v>
      </c>
      <c r="B101" s="5">
        <v>70</v>
      </c>
      <c r="C101" s="4">
        <v>6610</v>
      </c>
      <c r="D101" s="5">
        <f t="shared" si="3"/>
        <v>462700</v>
      </c>
    </row>
    <row r="102" spans="1:4" x14ac:dyDescent="0.25">
      <c r="A102" s="4" t="s">
        <v>3</v>
      </c>
      <c r="B102" s="5">
        <v>3</v>
      </c>
      <c r="C102" s="4">
        <v>3305</v>
      </c>
      <c r="D102" s="5">
        <f t="shared" si="3"/>
        <v>9915</v>
      </c>
    </row>
    <row r="103" spans="1:4" x14ac:dyDescent="0.25">
      <c r="A103" s="4" t="s">
        <v>32</v>
      </c>
      <c r="B103" s="5">
        <v>0</v>
      </c>
      <c r="C103" s="4">
        <v>5932.2</v>
      </c>
      <c r="D103" s="5">
        <f t="shared" si="3"/>
        <v>0</v>
      </c>
    </row>
    <row r="104" spans="1:4" x14ac:dyDescent="0.25">
      <c r="A104" s="4" t="s">
        <v>4</v>
      </c>
      <c r="B104" s="5">
        <v>4</v>
      </c>
      <c r="C104" s="4">
        <v>8474</v>
      </c>
      <c r="D104" s="5">
        <f t="shared" si="3"/>
        <v>33896</v>
      </c>
    </row>
    <row r="105" spans="1:4" x14ac:dyDescent="0.25">
      <c r="A105" s="4" t="s">
        <v>5</v>
      </c>
      <c r="B105" s="5">
        <v>2</v>
      </c>
      <c r="C105" s="4">
        <v>3813</v>
      </c>
      <c r="D105" s="5">
        <f t="shared" si="3"/>
        <v>7626</v>
      </c>
    </row>
    <row r="106" spans="1:4" x14ac:dyDescent="0.25">
      <c r="A106" s="4" t="s">
        <v>24</v>
      </c>
      <c r="B106" s="5">
        <v>0</v>
      </c>
      <c r="C106" s="4">
        <v>1000</v>
      </c>
      <c r="D106" s="5">
        <f t="shared" si="3"/>
        <v>0</v>
      </c>
    </row>
    <row r="107" spans="1:4" x14ac:dyDescent="0.25">
      <c r="B107" s="14" t="s">
        <v>20</v>
      </c>
      <c r="C107" s="8" t="s">
        <v>12</v>
      </c>
      <c r="D107" s="9">
        <f>SUM(D96:D106)</f>
        <v>1226847</v>
      </c>
    </row>
    <row r="108" spans="1:4" x14ac:dyDescent="0.25">
      <c r="B108" s="15"/>
      <c r="C108" s="4" t="s">
        <v>13</v>
      </c>
      <c r="D108" s="5">
        <f>+D107/D91</f>
        <v>12203.78991345867</v>
      </c>
    </row>
    <row r="109" spans="1:4" x14ac:dyDescent="0.25">
      <c r="B109" s="15"/>
      <c r="C109" s="4" t="s">
        <v>14</v>
      </c>
      <c r="D109" s="5">
        <v>2500</v>
      </c>
    </row>
    <row r="110" spans="1:4" x14ac:dyDescent="0.25">
      <c r="B110" s="15"/>
      <c r="C110" s="4" t="s">
        <v>15</v>
      </c>
      <c r="D110" s="5">
        <f>+D109+D108</f>
        <v>14703.78991345867</v>
      </c>
    </row>
    <row r="111" spans="1:4" x14ac:dyDescent="0.25">
      <c r="B111" s="15"/>
      <c r="C111" s="6" t="s">
        <v>16</v>
      </c>
      <c r="D111" s="7">
        <v>18000</v>
      </c>
    </row>
    <row r="112" spans="1:4" x14ac:dyDescent="0.25">
      <c r="B112" s="15"/>
      <c r="C112" s="4" t="s">
        <v>17</v>
      </c>
      <c r="D112" s="5">
        <f>+D111-D110</f>
        <v>3296.2100865413304</v>
      </c>
    </row>
    <row r="113" spans="2:4" x14ac:dyDescent="0.25">
      <c r="B113" s="15"/>
      <c r="C113" s="4" t="s">
        <v>18</v>
      </c>
      <c r="D113" s="5">
        <f>+D112*D91</f>
        <v>331367.99999999994</v>
      </c>
    </row>
    <row r="114" spans="2:4" x14ac:dyDescent="0.25">
      <c r="C114" s="17" t="s">
        <v>26</v>
      </c>
      <c r="D114" s="18">
        <v>813420</v>
      </c>
    </row>
    <row r="115" spans="2:4" ht="30" x14ac:dyDescent="0.25">
      <c r="C115" s="17" t="s">
        <v>27</v>
      </c>
      <c r="D115" s="19">
        <f>+D114+D113</f>
        <v>1144788</v>
      </c>
    </row>
  </sheetData>
  <mergeCells count="17">
    <mergeCell ref="B93:C93"/>
    <mergeCell ref="B107:B113"/>
    <mergeCell ref="B64:C64"/>
    <mergeCell ref="B65:C65"/>
    <mergeCell ref="B79:B85"/>
    <mergeCell ref="B91:C91"/>
    <mergeCell ref="B92:C92"/>
    <mergeCell ref="B36:C36"/>
    <mergeCell ref="B37:C37"/>
    <mergeCell ref="B38:C38"/>
    <mergeCell ref="B51:B57"/>
    <mergeCell ref="B63:C63"/>
    <mergeCell ref="B8:C8"/>
    <mergeCell ref="B9:C9"/>
    <mergeCell ref="B10:C10"/>
    <mergeCell ref="B23:B29"/>
    <mergeCell ref="A2:D3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Récap Etude Estimative</vt:lpstr>
      <vt:lpstr>Etude détaillée estimative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2021-04-29T13:49:41Z</dcterms:modified>
</cp:coreProperties>
</file>