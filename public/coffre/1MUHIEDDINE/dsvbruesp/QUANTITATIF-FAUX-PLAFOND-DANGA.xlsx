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WAD\Desktop\PARTAGE ECM\Lines &amp; Visions\Fidelis\"/>
    </mc:Choice>
  </mc:AlternateContent>
  <bookViews>
    <workbookView xWindow="0" yWindow="0" windowWidth="24000" windowHeight="11595"/>
  </bookViews>
  <sheets>
    <sheet name="FAUX-PLAFOND" sheetId="1" r:id="rId1"/>
  </sheets>
  <definedNames>
    <definedName name="_xlnm.Print_Area" localSheetId="0">'FAUX-PLAFOND'!$B$1:$N$305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8" i="1" l="1"/>
  <c r="J14" i="1" l="1"/>
  <c r="J13" i="1"/>
  <c r="G305" i="1" l="1"/>
  <c r="G304" i="1"/>
  <c r="G303" i="1"/>
  <c r="G115" i="1"/>
  <c r="G301" i="1"/>
  <c r="G270" i="1"/>
  <c r="G269" i="1"/>
  <c r="G261" i="1"/>
  <c r="G260" i="1"/>
  <c r="G264" i="1"/>
  <c r="G263" i="1"/>
  <c r="G258" i="1"/>
  <c r="G257" i="1"/>
  <c r="G255" i="1"/>
  <c r="G254" i="1"/>
  <c r="G252" i="1"/>
  <c r="G251" i="1"/>
  <c r="G249" i="1"/>
  <c r="G248" i="1"/>
  <c r="G300" i="1"/>
  <c r="G299" i="1"/>
  <c r="G297" i="1"/>
  <c r="G296" i="1"/>
  <c r="G294" i="1"/>
  <c r="G293" i="1"/>
  <c r="G291" i="1"/>
  <c r="G290" i="1"/>
  <c r="G288" i="1"/>
  <c r="G287" i="1"/>
  <c r="G285" i="1"/>
  <c r="G284" i="1"/>
  <c r="G282" i="1"/>
  <c r="G281" i="1"/>
  <c r="G279" i="1"/>
  <c r="G278" i="1"/>
  <c r="G276" i="1"/>
  <c r="G275" i="1"/>
  <c r="G273" i="1"/>
  <c r="G272" i="1"/>
  <c r="G267" i="1"/>
  <c r="G266" i="1"/>
  <c r="G246" i="1"/>
  <c r="G245" i="1"/>
  <c r="G243" i="1"/>
  <c r="G242" i="1"/>
  <c r="G238" i="1"/>
  <c r="G237" i="1"/>
  <c r="G235" i="1"/>
  <c r="G234" i="1"/>
  <c r="G232" i="1"/>
  <c r="G231" i="1"/>
  <c r="G229" i="1"/>
  <c r="G228" i="1"/>
  <c r="G226" i="1"/>
  <c r="G225" i="1"/>
  <c r="G223" i="1"/>
  <c r="G222" i="1"/>
  <c r="G220" i="1"/>
  <c r="G219" i="1"/>
  <c r="G217" i="1"/>
  <c r="G216" i="1"/>
  <c r="G214" i="1"/>
  <c r="G213" i="1"/>
  <c r="G211" i="1"/>
  <c r="G210" i="1"/>
  <c r="G208" i="1"/>
  <c r="G207" i="1"/>
  <c r="G205" i="1"/>
  <c r="G204" i="1"/>
  <c r="G202" i="1"/>
  <c r="G201" i="1"/>
  <c r="G199" i="1"/>
  <c r="G198" i="1"/>
  <c r="G196" i="1"/>
  <c r="G195" i="1"/>
  <c r="G239" i="1" s="1"/>
  <c r="G185" i="1"/>
  <c r="G184" i="1"/>
  <c r="G182" i="1"/>
  <c r="G181" i="1"/>
  <c r="G176" i="1"/>
  <c r="G175" i="1"/>
  <c r="G143" i="1"/>
  <c r="G142" i="1"/>
  <c r="G191" i="1" l="1"/>
  <c r="G190" i="1"/>
  <c r="G188" i="1"/>
  <c r="G187" i="1"/>
  <c r="G179" i="1"/>
  <c r="G178" i="1"/>
  <c r="G173" i="1"/>
  <c r="G172" i="1"/>
  <c r="G170" i="1"/>
  <c r="G169" i="1"/>
  <c r="G167" i="1"/>
  <c r="G166" i="1"/>
  <c r="G164" i="1"/>
  <c r="G163" i="1"/>
  <c r="G161" i="1"/>
  <c r="G160" i="1"/>
  <c r="G158" i="1"/>
  <c r="G157" i="1"/>
  <c r="G155" i="1"/>
  <c r="G154" i="1"/>
  <c r="G152" i="1"/>
  <c r="G151" i="1"/>
  <c r="G149" i="1"/>
  <c r="G148" i="1"/>
  <c r="G146" i="1"/>
  <c r="G145" i="1"/>
  <c r="G140" i="1"/>
  <c r="G139" i="1"/>
  <c r="G137" i="1"/>
  <c r="G136" i="1"/>
  <c r="G134" i="1"/>
  <c r="G133" i="1"/>
  <c r="G131" i="1"/>
  <c r="G130" i="1"/>
  <c r="G128" i="1"/>
  <c r="G127" i="1"/>
  <c r="G125" i="1"/>
  <c r="G124" i="1"/>
  <c r="G122" i="1"/>
  <c r="G121" i="1"/>
  <c r="G119" i="1"/>
  <c r="G118" i="1"/>
  <c r="G114" i="1"/>
  <c r="G113" i="1"/>
  <c r="G102" i="1"/>
  <c r="G101" i="1"/>
  <c r="G62" i="1"/>
  <c r="G61" i="1"/>
  <c r="G111" i="1"/>
  <c r="G110" i="1"/>
  <c r="G108" i="1"/>
  <c r="G107" i="1"/>
  <c r="G105" i="1"/>
  <c r="G104" i="1"/>
  <c r="G99" i="1"/>
  <c r="G98" i="1"/>
  <c r="G96" i="1"/>
  <c r="G95" i="1"/>
  <c r="G93" i="1"/>
  <c r="G92" i="1"/>
  <c r="G74" i="1"/>
  <c r="G73" i="1"/>
  <c r="G68" i="1"/>
  <c r="G67" i="1"/>
  <c r="G65" i="1"/>
  <c r="G64" i="1"/>
  <c r="G89" i="1"/>
  <c r="G88" i="1"/>
  <c r="G50" i="1"/>
  <c r="G49" i="1"/>
  <c r="G53" i="1"/>
  <c r="G52" i="1"/>
  <c r="G86" i="1"/>
  <c r="G85" i="1"/>
  <c r="G83" i="1"/>
  <c r="G82" i="1"/>
  <c r="G56" i="1"/>
  <c r="G55" i="1"/>
  <c r="G80" i="1"/>
  <c r="G79" i="1"/>
  <c r="G77" i="1"/>
  <c r="G76" i="1"/>
  <c r="G71" i="1"/>
  <c r="G70" i="1"/>
  <c r="G47" i="1"/>
  <c r="G46" i="1"/>
  <c r="G44" i="1"/>
  <c r="G43" i="1"/>
  <c r="G59" i="1"/>
  <c r="G58" i="1"/>
  <c r="G41" i="1"/>
  <c r="G40" i="1"/>
  <c r="G38" i="1"/>
  <c r="G37" i="1"/>
  <c r="G35" i="1"/>
  <c r="G34" i="1"/>
  <c r="G32" i="1"/>
  <c r="G31" i="1"/>
  <c r="G29" i="1"/>
  <c r="G28" i="1"/>
  <c r="G26" i="1"/>
  <c r="G25" i="1"/>
  <c r="G23" i="1"/>
  <c r="G22" i="1"/>
  <c r="G20" i="1"/>
  <c r="G19" i="1"/>
  <c r="G17" i="1"/>
  <c r="G16" i="1"/>
  <c r="G13" i="1"/>
  <c r="G192" i="1" l="1"/>
  <c r="G14" i="1"/>
</calcChain>
</file>

<file path=xl/sharedStrings.xml><?xml version="1.0" encoding="utf-8"?>
<sst xmlns="http://schemas.openxmlformats.org/spreadsheetml/2006/main" count="495" uniqueCount="99">
  <si>
    <t>N° prix</t>
  </si>
  <si>
    <t>Libellé</t>
  </si>
  <si>
    <t>Unité</t>
  </si>
  <si>
    <t xml:space="preserve"> Qtés</t>
  </si>
  <si>
    <t>Placoplâtre</t>
  </si>
  <si>
    <t>m²</t>
  </si>
  <si>
    <t>Placoplâtre hydrofuge</t>
  </si>
  <si>
    <t xml:space="preserve">TOTAL PREMIER ETAGE </t>
  </si>
  <si>
    <t xml:space="preserve">TOTAL TROISIEME ETAGE </t>
  </si>
  <si>
    <t>MONTANT TOTAL H.T</t>
  </si>
  <si>
    <t>MONTANT TOTAL T.T.C</t>
  </si>
  <si>
    <t>GUERITE</t>
  </si>
  <si>
    <t>Dalle minérale 60 x 60 cm</t>
  </si>
  <si>
    <t>SAS</t>
  </si>
  <si>
    <t>GUICHET AUTOMATIQUE</t>
  </si>
  <si>
    <t>ARCHIVES</t>
  </si>
  <si>
    <t>CAISSES</t>
  </si>
  <si>
    <t>PALIER</t>
  </si>
  <si>
    <t>CF</t>
  </si>
  <si>
    <t>TOILETTES</t>
  </si>
  <si>
    <t>DEGAGEMENT 1</t>
  </si>
  <si>
    <t>DEGAGEMENT 2</t>
  </si>
  <si>
    <t>BUREAU INDIVIDUEL 4</t>
  </si>
  <si>
    <t>HALL</t>
  </si>
  <si>
    <t>DEGAGEMENT 1 + HALL</t>
  </si>
  <si>
    <t>SAS CONTRÔLE</t>
  </si>
  <si>
    <t>BUREAU COLLECTIF</t>
  </si>
  <si>
    <t>BUREAU INDIVIDUEL 3</t>
  </si>
  <si>
    <t>SAS ENTREE PRIVEE / ENTREE EMPLOYE</t>
  </si>
  <si>
    <t>SAS SECURITE</t>
  </si>
  <si>
    <t>BUREAU INDIVIDUEL 2</t>
  </si>
  <si>
    <t>BUREAU INDIVIDUEL 1</t>
  </si>
  <si>
    <t>POSTE DE CONTRÔLE</t>
  </si>
  <si>
    <t>BUREAU RECOUVREMENT</t>
  </si>
  <si>
    <t>BUREAU CC</t>
  </si>
  <si>
    <t>DEGAGEMENT 3</t>
  </si>
  <si>
    <t>BATIMENT PRINCIPAL</t>
  </si>
  <si>
    <t>BATIMENT ANNEXE</t>
  </si>
  <si>
    <t>ACCUEIL + ATTENTE</t>
  </si>
  <si>
    <t>RESTAURANT - CANTINE</t>
  </si>
  <si>
    <t>BUREAU RESPONSABLE</t>
  </si>
  <si>
    <t>SALON</t>
  </si>
  <si>
    <t>CHAMBRE</t>
  </si>
  <si>
    <t>KITCHENETTE</t>
  </si>
  <si>
    <t>SDE</t>
  </si>
  <si>
    <t>TOTAL REZ-DE-CHAUSSEE</t>
  </si>
  <si>
    <t>REZ-DE-CHAUSSEE</t>
  </si>
  <si>
    <t>1er ETAGE</t>
  </si>
  <si>
    <t>BUREAU 1</t>
  </si>
  <si>
    <t>BUREAU 2</t>
  </si>
  <si>
    <t>BUREAU 3</t>
  </si>
  <si>
    <t>BUREAU 4</t>
  </si>
  <si>
    <t>BUREAU 5</t>
  </si>
  <si>
    <t>OPEN SPACE</t>
  </si>
  <si>
    <t>BUREAU 6</t>
  </si>
  <si>
    <t>BUREAU 7</t>
  </si>
  <si>
    <t>BUREAU 8</t>
  </si>
  <si>
    <t>BUREAU 9</t>
  </si>
  <si>
    <t>BUREAU 10</t>
  </si>
  <si>
    <t>BUREAU 11</t>
  </si>
  <si>
    <t xml:space="preserve">TOILETTES </t>
  </si>
  <si>
    <t>ATTENTE</t>
  </si>
  <si>
    <t>DEGAGEMENT 6</t>
  </si>
  <si>
    <t>DEGAGEMENT 7</t>
  </si>
  <si>
    <t>SALLE DE REUNION</t>
  </si>
  <si>
    <t>BUREAU 12</t>
  </si>
  <si>
    <t>RECEPTION</t>
  </si>
  <si>
    <t>2ème ETAGE</t>
  </si>
  <si>
    <t xml:space="preserve">TOTAL DEUXIEME ETAGE </t>
  </si>
  <si>
    <t>ATTENTE + HALL</t>
  </si>
  <si>
    <t>PALIER 2</t>
  </si>
  <si>
    <t>PALIER 1</t>
  </si>
  <si>
    <t xml:space="preserve">BUREAU </t>
  </si>
  <si>
    <t>BUREAU A</t>
  </si>
  <si>
    <t>BUREAU B</t>
  </si>
  <si>
    <t>BUREAU C</t>
  </si>
  <si>
    <t>BUREAU OPEN SPACE</t>
  </si>
  <si>
    <t>SALLE D'AUDIENCE</t>
  </si>
  <si>
    <t>3ème ETAGE</t>
  </si>
  <si>
    <t>ACCUEIL</t>
  </si>
  <si>
    <t>BUREAU DGA</t>
  </si>
  <si>
    <t>BUREAU PDG</t>
  </si>
  <si>
    <t>TOILETTES DGA</t>
  </si>
  <si>
    <t>DRESSING PDG</t>
  </si>
  <si>
    <t>SDE PDG</t>
  </si>
  <si>
    <t>SALON PRIVE</t>
  </si>
  <si>
    <t>LAVE-MAIN</t>
  </si>
  <si>
    <t>SALLE D'ATTENTE</t>
  </si>
  <si>
    <t>SECRETARIAT</t>
  </si>
  <si>
    <t>T.V.A 18%</t>
  </si>
  <si>
    <t>LOT 0Z - DQE FAUX PLAFOND</t>
  </si>
  <si>
    <t>TOILETTES RESPONSABLE</t>
  </si>
  <si>
    <t xml:space="preserve"> Prix Total</t>
  </si>
  <si>
    <t>Prix Unitaire</t>
  </si>
  <si>
    <t>Bâtiment Principal</t>
  </si>
  <si>
    <t>RDC</t>
  </si>
  <si>
    <t>BA13 Standard</t>
  </si>
  <si>
    <t>BA 13 Hydro</t>
  </si>
  <si>
    <t>Placo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</si>
</sst>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165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1" applyFont="1" applyAlignment="1">
      <alignment horizontal="center"/>
    </xf>
    <xf numFmtId="0" fontId="7" fillId="3" borderId="4" xfId="0" applyFont="1" applyFill="1" applyBorder="1" applyAlignment="1">
      <alignment horizontal="center"/>
    </xf>
    <xf numFmtId="164" fontId="7" fillId="3" borderId="4" xfId="1" applyFont="1" applyFill="1" applyBorder="1" applyAlignment="1">
      <alignment horizontal="center"/>
    </xf>
    <xf numFmtId="165" fontId="7" fillId="3" borderId="4" xfId="1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2" fontId="0" fillId="4" borderId="8" xfId="0" applyNumberFormat="1" applyFont="1" applyFill="1" applyBorder="1" applyAlignment="1">
      <alignment horizontal="center" vertical="center"/>
    </xf>
    <xf numFmtId="165" fontId="3" fillId="0" borderId="9" xfId="1" applyNumberFormat="1" applyFont="1" applyBorder="1" applyAlignment="1">
      <alignment horizontal="right" vertical="center"/>
    </xf>
    <xf numFmtId="165" fontId="7" fillId="0" borderId="13" xfId="1" applyNumberFormat="1" applyFont="1" applyBorder="1" applyAlignment="1">
      <alignment horizontal="right" vertical="center"/>
    </xf>
    <xf numFmtId="0" fontId="0" fillId="4" borderId="8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4" borderId="22" xfId="0" applyFont="1" applyFill="1" applyBorder="1" applyAlignment="1">
      <alignment horizontal="left" vertical="center"/>
    </xf>
    <xf numFmtId="0" fontId="0" fillId="4" borderId="22" xfId="0" applyFont="1" applyFill="1" applyBorder="1" applyAlignment="1">
      <alignment horizontal="center" vertical="center"/>
    </xf>
    <xf numFmtId="2" fontId="0" fillId="4" borderId="22" xfId="0" applyNumberFormat="1" applyFont="1" applyFill="1" applyBorder="1" applyAlignment="1">
      <alignment horizontal="center" vertical="center"/>
    </xf>
    <xf numFmtId="165" fontId="3" fillId="0" borderId="25" xfId="1" applyNumberFormat="1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right" vertical="center"/>
    </xf>
    <xf numFmtId="165" fontId="7" fillId="0" borderId="28" xfId="1" applyNumberFormat="1" applyFont="1" applyBorder="1" applyAlignment="1">
      <alignment horizontal="right" vertical="center"/>
    </xf>
    <xf numFmtId="0" fontId="0" fillId="4" borderId="18" xfId="0" applyFont="1" applyFill="1" applyBorder="1" applyAlignment="1">
      <alignment horizontal="left" vertical="center"/>
    </xf>
    <xf numFmtId="0" fontId="0" fillId="4" borderId="18" xfId="0" applyFont="1" applyFill="1" applyBorder="1" applyAlignment="1">
      <alignment horizontal="center" vertical="center"/>
    </xf>
    <xf numFmtId="2" fontId="0" fillId="4" borderId="18" xfId="0" applyNumberFormat="1" applyFont="1" applyFill="1" applyBorder="1" applyAlignment="1">
      <alignment horizontal="center" vertical="center"/>
    </xf>
    <xf numFmtId="165" fontId="3" fillId="0" borderId="29" xfId="1" applyNumberFormat="1" applyFont="1" applyBorder="1" applyAlignment="1">
      <alignment horizontal="right" vertical="center"/>
    </xf>
    <xf numFmtId="165" fontId="3" fillId="0" borderId="30" xfId="1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64" fontId="3" fillId="0" borderId="0" xfId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8" fillId="4" borderId="14" xfId="0" applyFont="1" applyFill="1" applyBorder="1" applyAlignment="1">
      <alignment vertical="center"/>
    </xf>
    <xf numFmtId="0" fontId="8" fillId="4" borderId="31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164" fontId="3" fillId="0" borderId="0" xfId="1" applyFont="1" applyAlignment="1">
      <alignment vertical="center"/>
    </xf>
    <xf numFmtId="3" fontId="7" fillId="0" borderId="15" xfId="0" applyNumberFormat="1" applyFont="1" applyBorder="1" applyAlignment="1">
      <alignment horizontal="center" vertical="center"/>
    </xf>
    <xf numFmtId="3" fontId="9" fillId="0" borderId="16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3" fillId="4" borderId="19" xfId="0" quotePrefix="1" applyFont="1" applyFill="1" applyBorder="1" applyAlignment="1">
      <alignment horizontal="center" vertical="center"/>
    </xf>
    <xf numFmtId="0" fontId="3" fillId="4" borderId="20" xfId="0" quotePrefix="1" applyFont="1" applyFill="1" applyBorder="1" applyAlignment="1">
      <alignment horizontal="center" vertical="center"/>
    </xf>
    <xf numFmtId="0" fontId="3" fillId="4" borderId="21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0" fontId="7" fillId="4" borderId="2" xfId="0" quotePrefix="1" applyFont="1" applyFill="1" applyBorder="1" applyAlignment="1">
      <alignment horizontal="center" vertical="center"/>
    </xf>
    <xf numFmtId="0" fontId="7" fillId="4" borderId="23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7" fillId="4" borderId="10" xfId="0" quotePrefix="1" applyFont="1" applyFill="1" applyBorder="1" applyAlignment="1">
      <alignment horizontal="center" vertical="center"/>
    </xf>
    <xf numFmtId="0" fontId="7" fillId="4" borderId="11" xfId="0" quotePrefix="1" applyFont="1" applyFill="1" applyBorder="1" applyAlignment="1">
      <alignment horizontal="center" vertical="center"/>
    </xf>
    <xf numFmtId="0" fontId="7" fillId="4" borderId="12" xfId="0" quotePrefix="1" applyFont="1" applyFill="1" applyBorder="1" applyAlignment="1">
      <alignment horizontal="center" vertical="center"/>
    </xf>
    <xf numFmtId="0" fontId="7" fillId="4" borderId="26" xfId="0" quotePrefix="1" applyFont="1" applyFill="1" applyBorder="1" applyAlignment="1">
      <alignment horizontal="center" vertical="center"/>
    </xf>
    <xf numFmtId="0" fontId="7" fillId="4" borderId="27" xfId="0" quotePrefix="1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0</xdr:rowOff>
    </xdr:from>
    <xdr:to>
      <xdr:col>2</xdr:col>
      <xdr:colOff>385190</xdr:colOff>
      <xdr:row>5</xdr:row>
      <xdr:rowOff>132309</xdr:rowOff>
    </xdr:to>
    <xdr:pic>
      <xdr:nvPicPr>
        <xdr:cNvPr id="2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947165" cy="894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05"/>
  <sheetViews>
    <sheetView tabSelected="1" view="pageBreakPreview" topLeftCell="A107" zoomScaleNormal="100" zoomScaleSheetLayoutView="100" workbookViewId="0">
      <selection activeCell="J119" sqref="J119"/>
    </sheetView>
  </sheetViews>
  <sheetFormatPr baseColWidth="10" defaultColWidth="9.140625" defaultRowHeight="15" x14ac:dyDescent="0.25"/>
  <cols>
    <col min="3" max="3" width="30.42578125" style="18" customWidth="1"/>
    <col min="5" max="5" width="9.85546875" customWidth="1"/>
    <col min="6" max="6" width="14.85546875" bestFit="1" customWidth="1"/>
    <col min="7" max="7" width="13.28515625" customWidth="1"/>
    <col min="9" max="9" width="17.42578125" bestFit="1" customWidth="1"/>
  </cols>
  <sheetData>
    <row r="2" spans="2:10" x14ac:dyDescent="0.25">
      <c r="B2" s="1"/>
      <c r="C2" s="14"/>
      <c r="D2" s="3"/>
      <c r="E2" s="2"/>
      <c r="F2" s="4"/>
      <c r="G2" s="2"/>
    </row>
    <row r="3" spans="2:10" ht="15.75" x14ac:dyDescent="0.25">
      <c r="B3" s="1"/>
      <c r="C3" s="48"/>
      <c r="D3" s="49"/>
      <c r="E3" s="49"/>
      <c r="F3" s="49"/>
      <c r="G3" s="49"/>
    </row>
    <row r="4" spans="2:10" ht="15.75" x14ac:dyDescent="0.25">
      <c r="B4" s="1"/>
      <c r="C4" s="50"/>
      <c r="D4" s="50"/>
      <c r="E4" s="50"/>
      <c r="F4" s="50"/>
      <c r="G4" s="50"/>
    </row>
    <row r="5" spans="2:10" x14ac:dyDescent="0.25">
      <c r="B5" s="1"/>
      <c r="C5" s="14"/>
      <c r="D5" s="3"/>
      <c r="E5" s="2"/>
      <c r="F5" s="4"/>
      <c r="G5" s="2"/>
    </row>
    <row r="6" spans="2:10" ht="15.75" thickBot="1" x14ac:dyDescent="0.3">
      <c r="B6" s="1"/>
      <c r="C6" s="14"/>
      <c r="D6" s="3"/>
      <c r="E6" s="2"/>
      <c r="F6" s="4"/>
      <c r="G6" s="2"/>
    </row>
    <row r="7" spans="2:10" ht="15.75" thickBot="1" x14ac:dyDescent="0.3">
      <c r="B7" s="51" t="s">
        <v>90</v>
      </c>
      <c r="C7" s="52"/>
      <c r="D7" s="52"/>
      <c r="E7" s="52"/>
      <c r="F7" s="52"/>
      <c r="G7" s="53"/>
    </row>
    <row r="8" spans="2:10" ht="15.75" thickBot="1" x14ac:dyDescent="0.3">
      <c r="B8" s="29"/>
      <c r="C8" s="30"/>
      <c r="D8" s="31"/>
      <c r="E8" s="32"/>
      <c r="F8" s="33"/>
      <c r="G8" s="34"/>
    </row>
    <row r="9" spans="2:10" ht="15.75" thickBot="1" x14ac:dyDescent="0.3">
      <c r="B9" s="5" t="s">
        <v>0</v>
      </c>
      <c r="C9" s="15" t="s">
        <v>1</v>
      </c>
      <c r="D9" s="5" t="s">
        <v>2</v>
      </c>
      <c r="E9" s="6" t="s">
        <v>3</v>
      </c>
      <c r="F9" s="5" t="s">
        <v>93</v>
      </c>
      <c r="G9" s="7" t="s">
        <v>92</v>
      </c>
    </row>
    <row r="10" spans="2:10" ht="15.75" thickBot="1" x14ac:dyDescent="0.3">
      <c r="B10" s="8">
        <v>1</v>
      </c>
      <c r="C10" s="54" t="s">
        <v>46</v>
      </c>
      <c r="D10" s="55"/>
      <c r="E10" s="55"/>
      <c r="F10" s="55"/>
      <c r="G10" s="56"/>
      <c r="I10" t="s">
        <v>95</v>
      </c>
    </row>
    <row r="11" spans="2:10" ht="15.75" thickBot="1" x14ac:dyDescent="0.3">
      <c r="B11" s="57" t="s">
        <v>36</v>
      </c>
      <c r="C11" s="58"/>
      <c r="D11" s="58"/>
      <c r="E11" s="58"/>
      <c r="F11" s="58"/>
      <c r="G11" s="59"/>
      <c r="I11" t="s">
        <v>94</v>
      </c>
    </row>
    <row r="12" spans="2:10" s="18" customFormat="1" x14ac:dyDescent="0.25">
      <c r="B12" s="35" t="s">
        <v>11</v>
      </c>
      <c r="C12" s="16"/>
      <c r="D12" s="16"/>
      <c r="E12" s="16"/>
      <c r="F12" s="16"/>
      <c r="G12" s="36"/>
    </row>
    <row r="13" spans="2:10" s="18" customFormat="1" x14ac:dyDescent="0.25">
      <c r="B13" s="45"/>
      <c r="C13" s="13" t="s">
        <v>4</v>
      </c>
      <c r="D13" s="9" t="s">
        <v>5</v>
      </c>
      <c r="E13" s="10">
        <v>3.05</v>
      </c>
      <c r="F13" s="37"/>
      <c r="G13" s="11">
        <f t="shared" ref="G13" si="0">F13*E13</f>
        <v>0</v>
      </c>
      <c r="I13" s="18" t="s">
        <v>96</v>
      </c>
      <c r="J13" s="44">
        <f>+E13+E16+E19+E22+E25+E28+E31+E34+E40+E43+E46+E49+E52+E55+E58+E61+E64+E67+E70+E73+E79+E82+E85+E88</f>
        <v>122.59999999999998</v>
      </c>
    </row>
    <row r="14" spans="2:10" s="18" customFormat="1" ht="15.75" thickBot="1" x14ac:dyDescent="0.3">
      <c r="B14" s="46"/>
      <c r="C14" s="13" t="s">
        <v>12</v>
      </c>
      <c r="D14" s="9" t="s">
        <v>5</v>
      </c>
      <c r="E14" s="10">
        <v>1.45</v>
      </c>
      <c r="F14" s="37"/>
      <c r="G14" s="11">
        <f t="shared" ref="G14" si="1">F14*E14</f>
        <v>0</v>
      </c>
      <c r="I14" s="18" t="s">
        <v>97</v>
      </c>
      <c r="J14" s="44">
        <f>+E37+E76</f>
        <v>13.149999999999999</v>
      </c>
    </row>
    <row r="15" spans="2:10" s="18" customFormat="1" x14ac:dyDescent="0.25">
      <c r="B15" s="35" t="s">
        <v>13</v>
      </c>
      <c r="C15" s="16"/>
      <c r="D15" s="16"/>
      <c r="E15" s="16"/>
      <c r="F15" s="16"/>
      <c r="G15" s="36"/>
    </row>
    <row r="16" spans="2:10" s="18" customFormat="1" x14ac:dyDescent="0.25">
      <c r="B16" s="45"/>
      <c r="C16" s="13" t="s">
        <v>4</v>
      </c>
      <c r="D16" s="9" t="s">
        <v>5</v>
      </c>
      <c r="E16" s="10">
        <v>10.35</v>
      </c>
      <c r="F16" s="37"/>
      <c r="G16" s="11">
        <f t="shared" ref="G16:G17" si="2">F16*E16</f>
        <v>0</v>
      </c>
    </row>
    <row r="17" spans="2:7" s="18" customFormat="1" ht="15.75" thickBot="1" x14ac:dyDescent="0.3">
      <c r="B17" s="46"/>
      <c r="C17" s="13" t="s">
        <v>12</v>
      </c>
      <c r="D17" s="9" t="s">
        <v>5</v>
      </c>
      <c r="E17" s="10">
        <v>0</v>
      </c>
      <c r="F17" s="37"/>
      <c r="G17" s="11">
        <f t="shared" si="2"/>
        <v>0</v>
      </c>
    </row>
    <row r="18" spans="2:7" s="18" customFormat="1" x14ac:dyDescent="0.25">
      <c r="B18" s="35" t="s">
        <v>14</v>
      </c>
      <c r="C18" s="16"/>
      <c r="D18" s="16"/>
      <c r="E18" s="16"/>
      <c r="F18" s="16"/>
      <c r="G18" s="36"/>
    </row>
    <row r="19" spans="2:7" s="18" customFormat="1" x14ac:dyDescent="0.25">
      <c r="B19" s="45"/>
      <c r="C19" s="13" t="s">
        <v>4</v>
      </c>
      <c r="D19" s="9" t="s">
        <v>5</v>
      </c>
      <c r="E19" s="10">
        <v>8.6</v>
      </c>
      <c r="F19" s="37"/>
      <c r="G19" s="11">
        <f t="shared" ref="G19:G20" si="3">F19*E19</f>
        <v>0</v>
      </c>
    </row>
    <row r="20" spans="2:7" s="18" customFormat="1" ht="15.75" thickBot="1" x14ac:dyDescent="0.3">
      <c r="B20" s="46"/>
      <c r="C20" s="13" t="s">
        <v>12</v>
      </c>
      <c r="D20" s="9" t="s">
        <v>5</v>
      </c>
      <c r="E20" s="10">
        <v>0</v>
      </c>
      <c r="F20" s="37"/>
      <c r="G20" s="11">
        <f t="shared" si="3"/>
        <v>0</v>
      </c>
    </row>
    <row r="21" spans="2:7" s="18" customFormat="1" x14ac:dyDescent="0.25">
      <c r="B21" s="35" t="s">
        <v>15</v>
      </c>
      <c r="C21" s="16"/>
      <c r="D21" s="16"/>
      <c r="E21" s="16"/>
      <c r="F21" s="16"/>
      <c r="G21" s="36"/>
    </row>
    <row r="22" spans="2:7" s="18" customFormat="1" x14ac:dyDescent="0.25">
      <c r="B22" s="45"/>
      <c r="C22" s="13" t="s">
        <v>4</v>
      </c>
      <c r="D22" s="9" t="s">
        <v>5</v>
      </c>
      <c r="E22" s="10">
        <v>2.5</v>
      </c>
      <c r="F22" s="37"/>
      <c r="G22" s="11">
        <f t="shared" ref="G22:G23" si="4">F22*E22</f>
        <v>0</v>
      </c>
    </row>
    <row r="23" spans="2:7" s="18" customFormat="1" ht="15.75" thickBot="1" x14ac:dyDescent="0.3">
      <c r="B23" s="46"/>
      <c r="C23" s="13" t="s">
        <v>12</v>
      </c>
      <c r="D23" s="9" t="s">
        <v>5</v>
      </c>
      <c r="E23" s="10">
        <v>8.65</v>
      </c>
      <c r="F23" s="37"/>
      <c r="G23" s="11">
        <f t="shared" si="4"/>
        <v>0</v>
      </c>
    </row>
    <row r="24" spans="2:7" s="18" customFormat="1" x14ac:dyDescent="0.25">
      <c r="B24" s="35" t="s">
        <v>16</v>
      </c>
      <c r="C24" s="16"/>
      <c r="D24" s="16"/>
      <c r="E24" s="16"/>
      <c r="F24" s="16"/>
      <c r="G24" s="36"/>
    </row>
    <row r="25" spans="2:7" s="18" customFormat="1" x14ac:dyDescent="0.25">
      <c r="B25" s="45"/>
      <c r="C25" s="13" t="s">
        <v>4</v>
      </c>
      <c r="D25" s="9" t="s">
        <v>5</v>
      </c>
      <c r="E25" s="10">
        <v>6.95</v>
      </c>
      <c r="F25" s="37"/>
      <c r="G25" s="11">
        <f t="shared" ref="G25:G26" si="5">F25*E25</f>
        <v>0</v>
      </c>
    </row>
    <row r="26" spans="2:7" s="18" customFormat="1" ht="15.75" thickBot="1" x14ac:dyDescent="0.3">
      <c r="B26" s="46"/>
      <c r="C26" s="13" t="s">
        <v>12</v>
      </c>
      <c r="D26" s="9" t="s">
        <v>5</v>
      </c>
      <c r="E26" s="10">
        <v>8.65</v>
      </c>
      <c r="F26" s="37"/>
      <c r="G26" s="11">
        <f t="shared" si="5"/>
        <v>0</v>
      </c>
    </row>
    <row r="27" spans="2:7" s="18" customFormat="1" x14ac:dyDescent="0.25">
      <c r="B27" s="35" t="s">
        <v>17</v>
      </c>
      <c r="C27" s="16"/>
      <c r="D27" s="16"/>
      <c r="E27" s="16"/>
      <c r="F27" s="16"/>
      <c r="G27" s="36"/>
    </row>
    <row r="28" spans="2:7" s="18" customFormat="1" x14ac:dyDescent="0.25">
      <c r="B28" s="45"/>
      <c r="C28" s="13" t="s">
        <v>4</v>
      </c>
      <c r="D28" s="9" t="s">
        <v>5</v>
      </c>
      <c r="E28" s="10">
        <v>2.0499999999999998</v>
      </c>
      <c r="F28" s="37"/>
      <c r="G28" s="11">
        <f t="shared" ref="G28:G29" si="6">F28*E28</f>
        <v>0</v>
      </c>
    </row>
    <row r="29" spans="2:7" s="18" customFormat="1" ht="15.75" thickBot="1" x14ac:dyDescent="0.3">
      <c r="B29" s="46"/>
      <c r="C29" s="13" t="s">
        <v>12</v>
      </c>
      <c r="D29" s="9" t="s">
        <v>5</v>
      </c>
      <c r="E29" s="10">
        <v>2.9</v>
      </c>
      <c r="F29" s="37"/>
      <c r="G29" s="11">
        <f t="shared" si="6"/>
        <v>0</v>
      </c>
    </row>
    <row r="30" spans="2:7" s="18" customFormat="1" x14ac:dyDescent="0.25">
      <c r="B30" s="35" t="s">
        <v>20</v>
      </c>
      <c r="C30" s="16"/>
      <c r="D30" s="16"/>
      <c r="E30" s="16"/>
      <c r="F30" s="16"/>
      <c r="G30" s="36"/>
    </row>
    <row r="31" spans="2:7" s="18" customFormat="1" x14ac:dyDescent="0.25">
      <c r="B31" s="45"/>
      <c r="C31" s="13" t="s">
        <v>4</v>
      </c>
      <c r="D31" s="9" t="s">
        <v>5</v>
      </c>
      <c r="E31" s="10">
        <v>2</v>
      </c>
      <c r="F31" s="37"/>
      <c r="G31" s="11">
        <f t="shared" ref="G31:G32" si="7">F31*E31</f>
        <v>0</v>
      </c>
    </row>
    <row r="32" spans="2:7" s="18" customFormat="1" ht="15.75" thickBot="1" x14ac:dyDescent="0.3">
      <c r="B32" s="46"/>
      <c r="C32" s="13" t="s">
        <v>12</v>
      </c>
      <c r="D32" s="9" t="s">
        <v>5</v>
      </c>
      <c r="E32" s="10">
        <v>1.45</v>
      </c>
      <c r="F32" s="37"/>
      <c r="G32" s="11">
        <f t="shared" si="7"/>
        <v>0</v>
      </c>
    </row>
    <row r="33" spans="2:7" s="18" customFormat="1" x14ac:dyDescent="0.25">
      <c r="B33" s="35" t="s">
        <v>18</v>
      </c>
      <c r="C33" s="16"/>
      <c r="D33" s="16"/>
      <c r="E33" s="16"/>
      <c r="F33" s="16"/>
      <c r="G33" s="36"/>
    </row>
    <row r="34" spans="2:7" s="18" customFormat="1" x14ac:dyDescent="0.25">
      <c r="B34" s="45"/>
      <c r="C34" s="13" t="s">
        <v>4</v>
      </c>
      <c r="D34" s="9" t="s">
        <v>5</v>
      </c>
      <c r="E34" s="10">
        <v>1</v>
      </c>
      <c r="F34" s="37"/>
      <c r="G34" s="11">
        <f t="shared" ref="G34:G35" si="8">F34*E34</f>
        <v>0</v>
      </c>
    </row>
    <row r="35" spans="2:7" s="18" customFormat="1" ht="15.75" thickBot="1" x14ac:dyDescent="0.3">
      <c r="B35" s="46"/>
      <c r="C35" s="13" t="s">
        <v>12</v>
      </c>
      <c r="D35" s="9" t="s">
        <v>5</v>
      </c>
      <c r="E35" s="10">
        <v>2.2000000000000002</v>
      </c>
      <c r="F35" s="37"/>
      <c r="G35" s="11">
        <f t="shared" si="8"/>
        <v>0</v>
      </c>
    </row>
    <row r="36" spans="2:7" s="18" customFormat="1" x14ac:dyDescent="0.25">
      <c r="B36" s="35" t="s">
        <v>19</v>
      </c>
      <c r="C36" s="16"/>
      <c r="D36" s="16"/>
      <c r="E36" s="16"/>
      <c r="F36" s="16"/>
      <c r="G36" s="36"/>
    </row>
    <row r="37" spans="2:7" s="18" customFormat="1" x14ac:dyDescent="0.25">
      <c r="B37" s="45"/>
      <c r="C37" s="13" t="s">
        <v>6</v>
      </c>
      <c r="D37" s="9" t="s">
        <v>5</v>
      </c>
      <c r="E37" s="10">
        <v>2.95</v>
      </c>
      <c r="F37" s="37"/>
      <c r="G37" s="11">
        <f t="shared" ref="G37:G38" si="9">F37*E37</f>
        <v>0</v>
      </c>
    </row>
    <row r="38" spans="2:7" s="18" customFormat="1" ht="15.75" thickBot="1" x14ac:dyDescent="0.3">
      <c r="B38" s="46"/>
      <c r="C38" s="13" t="s">
        <v>12</v>
      </c>
      <c r="D38" s="9" t="s">
        <v>5</v>
      </c>
      <c r="E38" s="10">
        <v>0</v>
      </c>
      <c r="F38" s="37"/>
      <c r="G38" s="11">
        <f t="shared" si="9"/>
        <v>0</v>
      </c>
    </row>
    <row r="39" spans="2:7" s="18" customFormat="1" x14ac:dyDescent="0.25">
      <c r="B39" s="35" t="s">
        <v>21</v>
      </c>
      <c r="C39" s="16"/>
      <c r="D39" s="16"/>
      <c r="E39" s="16"/>
      <c r="F39" s="16"/>
      <c r="G39" s="36"/>
    </row>
    <row r="40" spans="2:7" s="18" customFormat="1" x14ac:dyDescent="0.25">
      <c r="B40" s="45"/>
      <c r="C40" s="13" t="s">
        <v>4</v>
      </c>
      <c r="D40" s="9" t="s">
        <v>5</v>
      </c>
      <c r="E40" s="10">
        <v>1.4</v>
      </c>
      <c r="F40" s="37"/>
      <c r="G40" s="11">
        <f t="shared" ref="G40:G41" si="10">F40*E40</f>
        <v>0</v>
      </c>
    </row>
    <row r="41" spans="2:7" s="18" customFormat="1" ht="15.75" thickBot="1" x14ac:dyDescent="0.3">
      <c r="B41" s="46"/>
      <c r="C41" s="13" t="s">
        <v>12</v>
      </c>
      <c r="D41" s="9" t="s">
        <v>5</v>
      </c>
      <c r="E41" s="10">
        <v>1.1000000000000001</v>
      </c>
      <c r="F41" s="37"/>
      <c r="G41" s="11">
        <f t="shared" si="10"/>
        <v>0</v>
      </c>
    </row>
    <row r="42" spans="2:7" s="18" customFormat="1" x14ac:dyDescent="0.25">
      <c r="B42" s="35" t="s">
        <v>23</v>
      </c>
      <c r="C42" s="16"/>
      <c r="D42" s="16"/>
      <c r="E42" s="16"/>
      <c r="F42" s="16"/>
      <c r="G42" s="36"/>
    </row>
    <row r="43" spans="2:7" s="18" customFormat="1" x14ac:dyDescent="0.25">
      <c r="B43" s="45"/>
      <c r="C43" s="13" t="s">
        <v>4</v>
      </c>
      <c r="D43" s="9" t="s">
        <v>5</v>
      </c>
      <c r="E43" s="10">
        <v>7.75</v>
      </c>
      <c r="F43" s="37"/>
      <c r="G43" s="11">
        <f t="shared" ref="G43:G44" si="11">F43*E43</f>
        <v>0</v>
      </c>
    </row>
    <row r="44" spans="2:7" s="18" customFormat="1" ht="15.75" thickBot="1" x14ac:dyDescent="0.3">
      <c r="B44" s="46"/>
      <c r="C44" s="13" t="s">
        <v>12</v>
      </c>
      <c r="D44" s="9" t="s">
        <v>5</v>
      </c>
      <c r="E44" s="10">
        <v>18.75</v>
      </c>
      <c r="F44" s="37"/>
      <c r="G44" s="11">
        <f t="shared" si="11"/>
        <v>0</v>
      </c>
    </row>
    <row r="45" spans="2:7" s="18" customFormat="1" x14ac:dyDescent="0.25">
      <c r="B45" s="35" t="s">
        <v>24</v>
      </c>
      <c r="C45" s="16"/>
      <c r="D45" s="16"/>
      <c r="E45" s="16"/>
      <c r="F45" s="16"/>
      <c r="G45" s="36"/>
    </row>
    <row r="46" spans="2:7" s="18" customFormat="1" x14ac:dyDescent="0.25">
      <c r="B46" s="45"/>
      <c r="C46" s="13" t="s">
        <v>4</v>
      </c>
      <c r="D46" s="9" t="s">
        <v>5</v>
      </c>
      <c r="E46" s="10">
        <v>6.15</v>
      </c>
      <c r="F46" s="37"/>
      <c r="G46" s="11">
        <f t="shared" ref="G46:G47" si="12">F46*E46</f>
        <v>0</v>
      </c>
    </row>
    <row r="47" spans="2:7" s="18" customFormat="1" ht="15.75" thickBot="1" x14ac:dyDescent="0.3">
      <c r="B47" s="46"/>
      <c r="C47" s="13" t="s">
        <v>12</v>
      </c>
      <c r="D47" s="9" t="s">
        <v>5</v>
      </c>
      <c r="E47" s="10">
        <v>5.7</v>
      </c>
      <c r="F47" s="37"/>
      <c r="G47" s="11">
        <f t="shared" si="12"/>
        <v>0</v>
      </c>
    </row>
    <row r="48" spans="2:7" s="18" customFormat="1" x14ac:dyDescent="0.25">
      <c r="B48" s="35" t="s">
        <v>31</v>
      </c>
      <c r="C48" s="16"/>
      <c r="D48" s="16"/>
      <c r="E48" s="16"/>
      <c r="F48" s="16"/>
      <c r="G48" s="36"/>
    </row>
    <row r="49" spans="2:7" s="18" customFormat="1" x14ac:dyDescent="0.25">
      <c r="B49" s="45"/>
      <c r="C49" s="13" t="s">
        <v>4</v>
      </c>
      <c r="D49" s="9" t="s">
        <v>5</v>
      </c>
      <c r="E49" s="10">
        <v>2.2999999999999998</v>
      </c>
      <c r="F49" s="37"/>
      <c r="G49" s="11">
        <f t="shared" ref="G49:G50" si="13">F49*E49</f>
        <v>0</v>
      </c>
    </row>
    <row r="50" spans="2:7" s="18" customFormat="1" ht="15.75" thickBot="1" x14ac:dyDescent="0.3">
      <c r="B50" s="46"/>
      <c r="C50" s="13" t="s">
        <v>12</v>
      </c>
      <c r="D50" s="9" t="s">
        <v>5</v>
      </c>
      <c r="E50" s="10">
        <v>10.1</v>
      </c>
      <c r="F50" s="37"/>
      <c r="G50" s="11">
        <f t="shared" si="13"/>
        <v>0</v>
      </c>
    </row>
    <row r="51" spans="2:7" s="18" customFormat="1" x14ac:dyDescent="0.25">
      <c r="B51" s="35" t="s">
        <v>30</v>
      </c>
      <c r="C51" s="16"/>
      <c r="D51" s="16"/>
      <c r="E51" s="16"/>
      <c r="F51" s="16"/>
      <c r="G51" s="36"/>
    </row>
    <row r="52" spans="2:7" s="18" customFormat="1" x14ac:dyDescent="0.25">
      <c r="B52" s="45"/>
      <c r="C52" s="13" t="s">
        <v>4</v>
      </c>
      <c r="D52" s="9" t="s">
        <v>5</v>
      </c>
      <c r="E52" s="10">
        <v>2.0499999999999998</v>
      </c>
      <c r="F52" s="37"/>
      <c r="G52" s="11">
        <f t="shared" ref="G52:G53" si="14">F52*E52</f>
        <v>0</v>
      </c>
    </row>
    <row r="53" spans="2:7" s="18" customFormat="1" ht="15.75" thickBot="1" x14ac:dyDescent="0.3">
      <c r="B53" s="46"/>
      <c r="C53" s="13" t="s">
        <v>12</v>
      </c>
      <c r="D53" s="9" t="s">
        <v>5</v>
      </c>
      <c r="E53" s="10">
        <v>4.3499999999999996</v>
      </c>
      <c r="F53" s="37"/>
      <c r="G53" s="11">
        <f t="shared" si="14"/>
        <v>0</v>
      </c>
    </row>
    <row r="54" spans="2:7" s="18" customFormat="1" x14ac:dyDescent="0.25">
      <c r="B54" s="35" t="s">
        <v>27</v>
      </c>
      <c r="C54" s="16"/>
      <c r="D54" s="16"/>
      <c r="E54" s="16"/>
      <c r="F54" s="16"/>
      <c r="G54" s="36"/>
    </row>
    <row r="55" spans="2:7" s="18" customFormat="1" x14ac:dyDescent="0.25">
      <c r="B55" s="45"/>
      <c r="C55" s="13" t="s">
        <v>4</v>
      </c>
      <c r="D55" s="9" t="s">
        <v>5</v>
      </c>
      <c r="E55" s="10">
        <v>5.65</v>
      </c>
      <c r="F55" s="37"/>
      <c r="G55" s="11">
        <f t="shared" ref="G55:G56" si="15">F55*E55</f>
        <v>0</v>
      </c>
    </row>
    <row r="56" spans="2:7" s="18" customFormat="1" ht="15.75" thickBot="1" x14ac:dyDescent="0.3">
      <c r="B56" s="46"/>
      <c r="C56" s="13" t="s">
        <v>12</v>
      </c>
      <c r="D56" s="9" t="s">
        <v>5</v>
      </c>
      <c r="E56" s="10">
        <v>11.9</v>
      </c>
      <c r="F56" s="37"/>
      <c r="G56" s="11">
        <f t="shared" si="15"/>
        <v>0</v>
      </c>
    </row>
    <row r="57" spans="2:7" s="18" customFormat="1" x14ac:dyDescent="0.25">
      <c r="B57" s="35" t="s">
        <v>22</v>
      </c>
      <c r="C57" s="16"/>
      <c r="D57" s="16"/>
      <c r="E57" s="16"/>
      <c r="F57" s="16"/>
      <c r="G57" s="36"/>
    </row>
    <row r="58" spans="2:7" s="18" customFormat="1" x14ac:dyDescent="0.25">
      <c r="B58" s="45"/>
      <c r="C58" s="13" t="s">
        <v>4</v>
      </c>
      <c r="D58" s="9" t="s">
        <v>5</v>
      </c>
      <c r="E58" s="10">
        <v>4</v>
      </c>
      <c r="F58" s="37"/>
      <c r="G58" s="11">
        <f t="shared" ref="G58:G59" si="16">F58*E58</f>
        <v>0</v>
      </c>
    </row>
    <row r="59" spans="2:7" s="18" customFormat="1" ht="15.75" thickBot="1" x14ac:dyDescent="0.3">
      <c r="B59" s="46"/>
      <c r="C59" s="13" t="s">
        <v>12</v>
      </c>
      <c r="D59" s="9" t="s">
        <v>5</v>
      </c>
      <c r="E59" s="10">
        <v>13.7</v>
      </c>
      <c r="F59" s="37"/>
      <c r="G59" s="11">
        <f t="shared" si="16"/>
        <v>0</v>
      </c>
    </row>
    <row r="60" spans="2:7" s="18" customFormat="1" x14ac:dyDescent="0.25">
      <c r="B60" s="35" t="s">
        <v>38</v>
      </c>
      <c r="C60" s="16"/>
      <c r="D60" s="16"/>
      <c r="E60" s="16"/>
      <c r="F60" s="16"/>
      <c r="G60" s="36"/>
    </row>
    <row r="61" spans="2:7" s="18" customFormat="1" x14ac:dyDescent="0.25">
      <c r="B61" s="45"/>
      <c r="C61" s="13" t="s">
        <v>4</v>
      </c>
      <c r="D61" s="9" t="s">
        <v>5</v>
      </c>
      <c r="E61" s="10">
        <v>35</v>
      </c>
      <c r="F61" s="37"/>
      <c r="G61" s="11">
        <f t="shared" ref="G61:G62" si="17">F61*E61</f>
        <v>0</v>
      </c>
    </row>
    <row r="62" spans="2:7" s="18" customFormat="1" ht="15.75" thickBot="1" x14ac:dyDescent="0.3">
      <c r="B62" s="46"/>
      <c r="C62" s="13" t="s">
        <v>12</v>
      </c>
      <c r="D62" s="9" t="s">
        <v>5</v>
      </c>
      <c r="E62" s="10">
        <v>0</v>
      </c>
      <c r="F62" s="37"/>
      <c r="G62" s="11">
        <f t="shared" si="17"/>
        <v>0</v>
      </c>
    </row>
    <row r="63" spans="2:7" s="18" customFormat="1" x14ac:dyDescent="0.25">
      <c r="B63" s="35" t="s">
        <v>33</v>
      </c>
      <c r="C63" s="16"/>
      <c r="D63" s="16"/>
      <c r="E63" s="16"/>
      <c r="F63" s="16"/>
      <c r="G63" s="36"/>
    </row>
    <row r="64" spans="2:7" s="18" customFormat="1" x14ac:dyDescent="0.25">
      <c r="B64" s="45"/>
      <c r="C64" s="13" t="s">
        <v>4</v>
      </c>
      <c r="D64" s="9" t="s">
        <v>5</v>
      </c>
      <c r="E64" s="10">
        <v>2.2000000000000002</v>
      </c>
      <c r="F64" s="37"/>
      <c r="G64" s="11">
        <f t="shared" ref="G64:G65" si="18">F64*E64</f>
        <v>0</v>
      </c>
    </row>
    <row r="65" spans="2:7" s="18" customFormat="1" ht="15.75" thickBot="1" x14ac:dyDescent="0.3">
      <c r="B65" s="46"/>
      <c r="C65" s="13" t="s">
        <v>12</v>
      </c>
      <c r="D65" s="9" t="s">
        <v>5</v>
      </c>
      <c r="E65" s="10">
        <v>7.2</v>
      </c>
      <c r="F65" s="37"/>
      <c r="G65" s="11">
        <f t="shared" si="18"/>
        <v>0</v>
      </c>
    </row>
    <row r="66" spans="2:7" s="18" customFormat="1" x14ac:dyDescent="0.25">
      <c r="B66" s="35" t="s">
        <v>34</v>
      </c>
      <c r="C66" s="16"/>
      <c r="D66" s="16"/>
      <c r="E66" s="16"/>
      <c r="F66" s="16"/>
      <c r="G66" s="36"/>
    </row>
    <row r="67" spans="2:7" s="18" customFormat="1" x14ac:dyDescent="0.25">
      <c r="B67" s="45"/>
      <c r="C67" s="13" t="s">
        <v>4</v>
      </c>
      <c r="D67" s="9" t="s">
        <v>5</v>
      </c>
      <c r="E67" s="10">
        <v>3.85</v>
      </c>
      <c r="F67" s="37"/>
      <c r="G67" s="11">
        <f t="shared" ref="G67:G68" si="19">F67*E67</f>
        <v>0</v>
      </c>
    </row>
    <row r="68" spans="2:7" s="18" customFormat="1" ht="15.75" thickBot="1" x14ac:dyDescent="0.3">
      <c r="B68" s="46"/>
      <c r="C68" s="13" t="s">
        <v>12</v>
      </c>
      <c r="D68" s="9" t="s">
        <v>5</v>
      </c>
      <c r="E68" s="10">
        <v>5.4</v>
      </c>
      <c r="F68" s="37"/>
      <c r="G68" s="11">
        <f t="shared" si="19"/>
        <v>0</v>
      </c>
    </row>
    <row r="69" spans="2:7" s="18" customFormat="1" x14ac:dyDescent="0.25">
      <c r="B69" s="35" t="s">
        <v>25</v>
      </c>
      <c r="C69" s="16"/>
      <c r="D69" s="16"/>
      <c r="E69" s="16"/>
      <c r="F69" s="16"/>
      <c r="G69" s="36"/>
    </row>
    <row r="70" spans="2:7" s="18" customFormat="1" x14ac:dyDescent="0.25">
      <c r="B70" s="45"/>
      <c r="C70" s="13" t="s">
        <v>4</v>
      </c>
      <c r="D70" s="9" t="s">
        <v>5</v>
      </c>
      <c r="E70" s="10">
        <v>2</v>
      </c>
      <c r="F70" s="37"/>
      <c r="G70" s="11">
        <f t="shared" ref="G70:G71" si="20">F70*E70</f>
        <v>0</v>
      </c>
    </row>
    <row r="71" spans="2:7" s="18" customFormat="1" ht="15.75" thickBot="1" x14ac:dyDescent="0.3">
      <c r="B71" s="46"/>
      <c r="C71" s="13" t="s">
        <v>12</v>
      </c>
      <c r="D71" s="9" t="s">
        <v>5</v>
      </c>
      <c r="E71" s="10">
        <v>13</v>
      </c>
      <c r="F71" s="37"/>
      <c r="G71" s="11">
        <f t="shared" si="20"/>
        <v>0</v>
      </c>
    </row>
    <row r="72" spans="2:7" s="18" customFormat="1" x14ac:dyDescent="0.25">
      <c r="B72" s="35" t="s">
        <v>35</v>
      </c>
      <c r="C72" s="16"/>
      <c r="D72" s="16"/>
      <c r="E72" s="16"/>
      <c r="F72" s="16"/>
      <c r="G72" s="36"/>
    </row>
    <row r="73" spans="2:7" s="18" customFormat="1" x14ac:dyDescent="0.25">
      <c r="B73" s="45"/>
      <c r="C73" s="13" t="s">
        <v>4</v>
      </c>
      <c r="D73" s="9" t="s">
        <v>5</v>
      </c>
      <c r="E73" s="10">
        <v>3.75</v>
      </c>
      <c r="F73" s="37"/>
      <c r="G73" s="11">
        <f t="shared" ref="G73:G74" si="21">F73*E73</f>
        <v>0</v>
      </c>
    </row>
    <row r="74" spans="2:7" s="18" customFormat="1" ht="15.75" thickBot="1" x14ac:dyDescent="0.3">
      <c r="B74" s="46"/>
      <c r="C74" s="13" t="s">
        <v>12</v>
      </c>
      <c r="D74" s="9" t="s">
        <v>5</v>
      </c>
      <c r="E74" s="10">
        <v>5.8</v>
      </c>
      <c r="F74" s="37"/>
      <c r="G74" s="11">
        <f t="shared" si="21"/>
        <v>0</v>
      </c>
    </row>
    <row r="75" spans="2:7" s="18" customFormat="1" x14ac:dyDescent="0.25">
      <c r="B75" s="35" t="s">
        <v>19</v>
      </c>
      <c r="C75" s="16"/>
      <c r="D75" s="16"/>
      <c r="E75" s="16"/>
      <c r="F75" s="16"/>
      <c r="G75" s="36"/>
    </row>
    <row r="76" spans="2:7" s="18" customFormat="1" x14ac:dyDescent="0.25">
      <c r="B76" s="45"/>
      <c r="C76" s="13" t="s">
        <v>6</v>
      </c>
      <c r="D76" s="9" t="s">
        <v>5</v>
      </c>
      <c r="E76" s="10">
        <v>10.199999999999999</v>
      </c>
      <c r="F76" s="37"/>
      <c r="G76" s="11">
        <f t="shared" ref="G76:G77" si="22">F76*E76</f>
        <v>0</v>
      </c>
    </row>
    <row r="77" spans="2:7" s="18" customFormat="1" ht="15.75" thickBot="1" x14ac:dyDescent="0.3">
      <c r="B77" s="46"/>
      <c r="C77" s="13" t="s">
        <v>12</v>
      </c>
      <c r="D77" s="9" t="s">
        <v>5</v>
      </c>
      <c r="E77" s="10">
        <v>0</v>
      </c>
      <c r="F77" s="37"/>
      <c r="G77" s="11">
        <f t="shared" si="22"/>
        <v>0</v>
      </c>
    </row>
    <row r="78" spans="2:7" s="18" customFormat="1" x14ac:dyDescent="0.25">
      <c r="B78" s="35" t="s">
        <v>26</v>
      </c>
      <c r="C78" s="16"/>
      <c r="D78" s="16"/>
      <c r="E78" s="16"/>
      <c r="F78" s="16"/>
      <c r="G78" s="36"/>
    </row>
    <row r="79" spans="2:7" s="18" customFormat="1" x14ac:dyDescent="0.25">
      <c r="B79" s="45"/>
      <c r="C79" s="13" t="s">
        <v>4</v>
      </c>
      <c r="D79" s="9" t="s">
        <v>5</v>
      </c>
      <c r="E79" s="10">
        <v>3.45</v>
      </c>
      <c r="F79" s="37"/>
      <c r="G79" s="11">
        <f t="shared" ref="G79:G80" si="23">F79*E79</f>
        <v>0</v>
      </c>
    </row>
    <row r="80" spans="2:7" s="18" customFormat="1" ht="15.75" thickBot="1" x14ac:dyDescent="0.3">
      <c r="B80" s="46"/>
      <c r="C80" s="13" t="s">
        <v>12</v>
      </c>
      <c r="D80" s="9" t="s">
        <v>5</v>
      </c>
      <c r="E80" s="10">
        <v>10.8</v>
      </c>
      <c r="F80" s="37"/>
      <c r="G80" s="11">
        <f t="shared" si="23"/>
        <v>0</v>
      </c>
    </row>
    <row r="81" spans="2:7" s="18" customFormat="1" x14ac:dyDescent="0.25">
      <c r="B81" s="35" t="s">
        <v>28</v>
      </c>
      <c r="C81" s="16"/>
      <c r="D81" s="16"/>
      <c r="E81" s="16"/>
      <c r="F81" s="16"/>
      <c r="G81" s="36"/>
    </row>
    <row r="82" spans="2:7" s="18" customFormat="1" x14ac:dyDescent="0.25">
      <c r="B82" s="45"/>
      <c r="C82" s="13" t="s">
        <v>4</v>
      </c>
      <c r="D82" s="9" t="s">
        <v>5</v>
      </c>
      <c r="E82" s="10">
        <v>1.75</v>
      </c>
      <c r="F82" s="37"/>
      <c r="G82" s="11">
        <f t="shared" ref="G82:G83" si="24">F82*E82</f>
        <v>0</v>
      </c>
    </row>
    <row r="83" spans="2:7" s="18" customFormat="1" ht="15.75" thickBot="1" x14ac:dyDescent="0.3">
      <c r="B83" s="46"/>
      <c r="C83" s="13" t="s">
        <v>12</v>
      </c>
      <c r="D83" s="9" t="s">
        <v>5</v>
      </c>
      <c r="E83" s="10">
        <v>3.25</v>
      </c>
      <c r="F83" s="37"/>
      <c r="G83" s="11">
        <f t="shared" si="24"/>
        <v>0</v>
      </c>
    </row>
    <row r="84" spans="2:7" s="18" customFormat="1" x14ac:dyDescent="0.25">
      <c r="B84" s="35" t="s">
        <v>29</v>
      </c>
      <c r="C84" s="16"/>
      <c r="D84" s="16"/>
      <c r="E84" s="16"/>
      <c r="F84" s="16"/>
      <c r="G84" s="36"/>
    </row>
    <row r="85" spans="2:7" s="18" customFormat="1" x14ac:dyDescent="0.25">
      <c r="B85" s="45"/>
      <c r="C85" s="13" t="s">
        <v>4</v>
      </c>
      <c r="D85" s="9" t="s">
        <v>5</v>
      </c>
      <c r="E85" s="10">
        <v>2.6</v>
      </c>
      <c r="F85" s="37"/>
      <c r="G85" s="11">
        <f t="shared" ref="G85:G86" si="25">F85*E85</f>
        <v>0</v>
      </c>
    </row>
    <row r="86" spans="2:7" s="18" customFormat="1" ht="15.75" thickBot="1" x14ac:dyDescent="0.3">
      <c r="B86" s="46"/>
      <c r="C86" s="13" t="s">
        <v>12</v>
      </c>
      <c r="D86" s="9" t="s">
        <v>5</v>
      </c>
      <c r="E86" s="10">
        <v>6.5</v>
      </c>
      <c r="F86" s="37"/>
      <c r="G86" s="11">
        <f t="shared" si="25"/>
        <v>0</v>
      </c>
    </row>
    <row r="87" spans="2:7" s="18" customFormat="1" x14ac:dyDescent="0.25">
      <c r="B87" s="35" t="s">
        <v>32</v>
      </c>
      <c r="C87" s="16"/>
      <c r="D87" s="16"/>
      <c r="E87" s="16"/>
      <c r="F87" s="16"/>
      <c r="G87" s="36"/>
    </row>
    <row r="88" spans="2:7" s="18" customFormat="1" x14ac:dyDescent="0.25">
      <c r="B88" s="45"/>
      <c r="C88" s="13" t="s">
        <v>4</v>
      </c>
      <c r="D88" s="9" t="s">
        <v>5</v>
      </c>
      <c r="E88" s="10">
        <v>2.2000000000000002</v>
      </c>
      <c r="F88" s="37"/>
      <c r="G88" s="11">
        <f t="shared" ref="G88:G89" si="26">F88*E88</f>
        <v>0</v>
      </c>
    </row>
    <row r="89" spans="2:7" s="18" customFormat="1" ht="15.75" thickBot="1" x14ac:dyDescent="0.3">
      <c r="B89" s="46"/>
      <c r="C89" s="13" t="s">
        <v>12</v>
      </c>
      <c r="D89" s="9" t="s">
        <v>5</v>
      </c>
      <c r="E89" s="10">
        <v>4.3499999999999996</v>
      </c>
      <c r="F89" s="37"/>
      <c r="G89" s="11">
        <f t="shared" si="26"/>
        <v>0</v>
      </c>
    </row>
    <row r="90" spans="2:7" s="18" customFormat="1" ht="15.75" thickBot="1" x14ac:dyDescent="0.3">
      <c r="B90" s="57" t="s">
        <v>37</v>
      </c>
      <c r="C90" s="58"/>
      <c r="D90" s="58"/>
      <c r="E90" s="58"/>
      <c r="F90" s="58"/>
      <c r="G90" s="59"/>
    </row>
    <row r="91" spans="2:7" s="18" customFormat="1" x14ac:dyDescent="0.25">
      <c r="B91" s="35" t="s">
        <v>39</v>
      </c>
      <c r="C91" s="16"/>
      <c r="D91" s="16"/>
      <c r="E91" s="16"/>
      <c r="F91" s="16"/>
      <c r="G91" s="36"/>
    </row>
    <row r="92" spans="2:7" s="18" customFormat="1" x14ac:dyDescent="0.25">
      <c r="B92" s="45"/>
      <c r="C92" s="13" t="s">
        <v>4</v>
      </c>
      <c r="D92" s="9" t="s">
        <v>5</v>
      </c>
      <c r="E92" s="10">
        <v>6.4</v>
      </c>
      <c r="F92" s="37"/>
      <c r="G92" s="11">
        <f t="shared" ref="G92:G93" si="27">F92*E92</f>
        <v>0</v>
      </c>
    </row>
    <row r="93" spans="2:7" s="18" customFormat="1" ht="15.75" thickBot="1" x14ac:dyDescent="0.3">
      <c r="B93" s="46"/>
      <c r="C93" s="13" t="s">
        <v>12</v>
      </c>
      <c r="D93" s="9" t="s">
        <v>5</v>
      </c>
      <c r="E93" s="10">
        <v>25.2</v>
      </c>
      <c r="F93" s="37"/>
      <c r="G93" s="11">
        <f t="shared" si="27"/>
        <v>0</v>
      </c>
    </row>
    <row r="94" spans="2:7" s="18" customFormat="1" x14ac:dyDescent="0.25">
      <c r="B94" s="35" t="s">
        <v>19</v>
      </c>
      <c r="C94" s="16"/>
      <c r="D94" s="16"/>
      <c r="E94" s="16"/>
      <c r="F94" s="16"/>
      <c r="G94" s="36"/>
    </row>
    <row r="95" spans="2:7" s="18" customFormat="1" x14ac:dyDescent="0.25">
      <c r="B95" s="45"/>
      <c r="C95" s="13" t="s">
        <v>6</v>
      </c>
      <c r="D95" s="9" t="s">
        <v>5</v>
      </c>
      <c r="E95" s="10">
        <v>4.45</v>
      </c>
      <c r="F95" s="37"/>
      <c r="G95" s="11">
        <f t="shared" ref="G95:G96" si="28">F95*E95</f>
        <v>0</v>
      </c>
    </row>
    <row r="96" spans="2:7" s="18" customFormat="1" ht="15.75" thickBot="1" x14ac:dyDescent="0.3">
      <c r="B96" s="46"/>
      <c r="C96" s="13" t="s">
        <v>12</v>
      </c>
      <c r="D96" s="9" t="s">
        <v>5</v>
      </c>
      <c r="E96" s="10">
        <v>0</v>
      </c>
      <c r="F96" s="37"/>
      <c r="G96" s="11">
        <f t="shared" si="28"/>
        <v>0</v>
      </c>
    </row>
    <row r="97" spans="2:7" s="18" customFormat="1" x14ac:dyDescent="0.25">
      <c r="B97" s="35" t="s">
        <v>40</v>
      </c>
      <c r="C97" s="16"/>
      <c r="D97" s="16"/>
      <c r="E97" s="16"/>
      <c r="F97" s="16"/>
      <c r="G97" s="36"/>
    </row>
    <row r="98" spans="2:7" s="18" customFormat="1" x14ac:dyDescent="0.25">
      <c r="B98" s="45"/>
      <c r="C98" s="13" t="s">
        <v>4</v>
      </c>
      <c r="D98" s="9" t="s">
        <v>5</v>
      </c>
      <c r="E98" s="10">
        <v>2.25</v>
      </c>
      <c r="F98" s="37"/>
      <c r="G98" s="11">
        <f t="shared" ref="G98:G99" si="29">F98*E98</f>
        <v>0</v>
      </c>
    </row>
    <row r="99" spans="2:7" s="18" customFormat="1" ht="15.75" thickBot="1" x14ac:dyDescent="0.3">
      <c r="B99" s="46"/>
      <c r="C99" s="13" t="s">
        <v>12</v>
      </c>
      <c r="D99" s="9" t="s">
        <v>5</v>
      </c>
      <c r="E99" s="10">
        <v>10.8</v>
      </c>
      <c r="F99" s="37"/>
      <c r="G99" s="11">
        <f t="shared" si="29"/>
        <v>0</v>
      </c>
    </row>
    <row r="100" spans="2:7" s="18" customFormat="1" x14ac:dyDescent="0.25">
      <c r="B100" s="35" t="s">
        <v>91</v>
      </c>
      <c r="C100" s="16"/>
      <c r="D100" s="16"/>
      <c r="E100" s="16"/>
      <c r="F100" s="16"/>
      <c r="G100" s="36"/>
    </row>
    <row r="101" spans="2:7" s="18" customFormat="1" x14ac:dyDescent="0.25">
      <c r="B101" s="45"/>
      <c r="C101" s="13" t="s">
        <v>6</v>
      </c>
      <c r="D101" s="9" t="s">
        <v>5</v>
      </c>
      <c r="E101" s="10">
        <v>4.45</v>
      </c>
      <c r="F101" s="37"/>
      <c r="G101" s="11">
        <f t="shared" ref="G101:G102" si="30">F101*E101</f>
        <v>0</v>
      </c>
    </row>
    <row r="102" spans="2:7" s="18" customFormat="1" ht="15.75" thickBot="1" x14ac:dyDescent="0.3">
      <c r="B102" s="46"/>
      <c r="C102" s="13" t="s">
        <v>12</v>
      </c>
      <c r="D102" s="9" t="s">
        <v>5</v>
      </c>
      <c r="E102" s="10">
        <v>0</v>
      </c>
      <c r="F102" s="37"/>
      <c r="G102" s="11">
        <f t="shared" si="30"/>
        <v>0</v>
      </c>
    </row>
    <row r="103" spans="2:7" s="18" customFormat="1" x14ac:dyDescent="0.25">
      <c r="B103" s="35" t="s">
        <v>41</v>
      </c>
      <c r="C103" s="16"/>
      <c r="D103" s="16"/>
      <c r="E103" s="16"/>
      <c r="F103" s="16"/>
      <c r="G103" s="36"/>
    </row>
    <row r="104" spans="2:7" s="18" customFormat="1" x14ac:dyDescent="0.25">
      <c r="B104" s="45"/>
      <c r="C104" s="13" t="s">
        <v>4</v>
      </c>
      <c r="D104" s="9" t="s">
        <v>5</v>
      </c>
      <c r="E104" s="10">
        <v>3.85</v>
      </c>
      <c r="F104" s="37"/>
      <c r="G104" s="11">
        <f t="shared" ref="G104:G105" si="31">F104*E104</f>
        <v>0</v>
      </c>
    </row>
    <row r="105" spans="2:7" s="18" customFormat="1" ht="15.75" thickBot="1" x14ac:dyDescent="0.3">
      <c r="B105" s="46"/>
      <c r="C105" s="13" t="s">
        <v>12</v>
      </c>
      <c r="D105" s="9" t="s">
        <v>5</v>
      </c>
      <c r="E105" s="10">
        <v>7.6</v>
      </c>
      <c r="F105" s="37"/>
      <c r="G105" s="11">
        <f t="shared" si="31"/>
        <v>0</v>
      </c>
    </row>
    <row r="106" spans="2:7" s="18" customFormat="1" x14ac:dyDescent="0.25">
      <c r="B106" s="35" t="s">
        <v>42</v>
      </c>
      <c r="C106" s="16"/>
      <c r="D106" s="16"/>
      <c r="E106" s="16"/>
      <c r="F106" s="16"/>
      <c r="G106" s="36"/>
    </row>
    <row r="107" spans="2:7" s="18" customFormat="1" x14ac:dyDescent="0.25">
      <c r="B107" s="45"/>
      <c r="C107" s="13" t="s">
        <v>4</v>
      </c>
      <c r="D107" s="9" t="s">
        <v>5</v>
      </c>
      <c r="E107" s="10">
        <v>3.65</v>
      </c>
      <c r="F107" s="37"/>
      <c r="G107" s="11">
        <f t="shared" ref="G107:G108" si="32">F107*E107</f>
        <v>0</v>
      </c>
    </row>
    <row r="108" spans="2:7" s="18" customFormat="1" ht="15.75" thickBot="1" x14ac:dyDescent="0.3">
      <c r="B108" s="46"/>
      <c r="C108" s="13" t="s">
        <v>12</v>
      </c>
      <c r="D108" s="9" t="s">
        <v>5</v>
      </c>
      <c r="E108" s="10">
        <v>5.4</v>
      </c>
      <c r="F108" s="37"/>
      <c r="G108" s="11">
        <f t="shared" si="32"/>
        <v>0</v>
      </c>
    </row>
    <row r="109" spans="2:7" s="18" customFormat="1" x14ac:dyDescent="0.25">
      <c r="B109" s="35" t="s">
        <v>43</v>
      </c>
      <c r="C109" s="16"/>
      <c r="D109" s="16"/>
      <c r="E109" s="16"/>
      <c r="F109" s="16"/>
      <c r="G109" s="36"/>
    </row>
    <row r="110" spans="2:7" s="18" customFormat="1" x14ac:dyDescent="0.25">
      <c r="B110" s="45"/>
      <c r="C110" s="13" t="s">
        <v>6</v>
      </c>
      <c r="D110" s="9" t="s">
        <v>5</v>
      </c>
      <c r="E110" s="10">
        <v>2.5499999999999998</v>
      </c>
      <c r="F110" s="37"/>
      <c r="G110" s="11">
        <f t="shared" ref="G110:G111" si="33">F110*E110</f>
        <v>0</v>
      </c>
    </row>
    <row r="111" spans="2:7" s="18" customFormat="1" ht="15.75" thickBot="1" x14ac:dyDescent="0.3">
      <c r="B111" s="46"/>
      <c r="C111" s="13" t="s">
        <v>12</v>
      </c>
      <c r="D111" s="9" t="s">
        <v>5</v>
      </c>
      <c r="E111" s="10">
        <v>0</v>
      </c>
      <c r="F111" s="37"/>
      <c r="G111" s="11">
        <f t="shared" si="33"/>
        <v>0</v>
      </c>
    </row>
    <row r="112" spans="2:7" s="18" customFormat="1" x14ac:dyDescent="0.25">
      <c r="B112" s="35" t="s">
        <v>44</v>
      </c>
      <c r="C112" s="16"/>
      <c r="D112" s="16"/>
      <c r="E112" s="16"/>
      <c r="F112" s="16"/>
      <c r="G112" s="36"/>
    </row>
    <row r="113" spans="2:10" s="18" customFormat="1" x14ac:dyDescent="0.25">
      <c r="B113" s="45"/>
      <c r="C113" s="13" t="s">
        <v>6</v>
      </c>
      <c r="D113" s="9" t="s">
        <v>5</v>
      </c>
      <c r="E113" s="10">
        <v>3.85</v>
      </c>
      <c r="F113" s="37"/>
      <c r="G113" s="11">
        <f t="shared" ref="G113:G114" si="34">F113*E113</f>
        <v>0</v>
      </c>
    </row>
    <row r="114" spans="2:10" s="18" customFormat="1" ht="15.75" thickBot="1" x14ac:dyDescent="0.3">
      <c r="B114" s="47"/>
      <c r="C114" s="19" t="s">
        <v>12</v>
      </c>
      <c r="D114" s="20" t="s">
        <v>5</v>
      </c>
      <c r="E114" s="21">
        <v>0</v>
      </c>
      <c r="F114" s="38"/>
      <c r="G114" s="22">
        <f t="shared" si="34"/>
        <v>0</v>
      </c>
    </row>
    <row r="115" spans="2:10" s="18" customFormat="1" ht="15.75" thickBot="1" x14ac:dyDescent="0.3">
      <c r="B115" s="60" t="s">
        <v>45</v>
      </c>
      <c r="C115" s="61"/>
      <c r="D115" s="61"/>
      <c r="E115" s="61"/>
      <c r="F115" s="62"/>
      <c r="G115" s="23">
        <f>SUM(G12:G114)</f>
        <v>0</v>
      </c>
    </row>
    <row r="116" spans="2:10" s="18" customFormat="1" ht="15.75" thickBot="1" x14ac:dyDescent="0.3">
      <c r="B116" s="8">
        <v>2</v>
      </c>
      <c r="C116" s="63" t="s">
        <v>47</v>
      </c>
      <c r="D116" s="64"/>
      <c r="E116" s="64"/>
      <c r="F116" s="64"/>
      <c r="G116" s="65"/>
    </row>
    <row r="117" spans="2:10" s="18" customFormat="1" x14ac:dyDescent="0.25">
      <c r="B117" s="35" t="s">
        <v>13</v>
      </c>
      <c r="C117" s="16"/>
      <c r="D117" s="16"/>
      <c r="E117" s="16"/>
      <c r="F117" s="16"/>
      <c r="G117" s="36"/>
    </row>
    <row r="118" spans="2:10" s="18" customFormat="1" x14ac:dyDescent="0.25">
      <c r="B118" s="45"/>
      <c r="C118" s="13" t="s">
        <v>4</v>
      </c>
      <c r="D118" s="9" t="s">
        <v>5</v>
      </c>
      <c r="E118" s="10">
        <v>5.35</v>
      </c>
      <c r="F118" s="37"/>
      <c r="G118" s="11">
        <f t="shared" ref="G118:G119" si="35">F118*E118</f>
        <v>0</v>
      </c>
      <c r="I118" s="18" t="s">
        <v>98</v>
      </c>
      <c r="J118" s="44">
        <f>+E118+E121+E124+E127+E130+E133+E136+E139+E142+E145+E148+E151+E154+E157+E160+E163+E166+E169+E172+E175+E178+E181+E184+E187+E190</f>
        <v>117.74999999999999</v>
      </c>
    </row>
    <row r="119" spans="2:10" s="18" customFormat="1" ht="15.75" thickBot="1" x14ac:dyDescent="0.3">
      <c r="B119" s="46"/>
      <c r="C119" s="13" t="s">
        <v>12</v>
      </c>
      <c r="D119" s="9" t="s">
        <v>5</v>
      </c>
      <c r="E119" s="10">
        <v>5.4</v>
      </c>
      <c r="F119" s="37"/>
      <c r="G119" s="11">
        <f t="shared" si="35"/>
        <v>0</v>
      </c>
    </row>
    <row r="120" spans="2:10" s="18" customFormat="1" x14ac:dyDescent="0.25">
      <c r="B120" s="35" t="s">
        <v>35</v>
      </c>
      <c r="C120" s="16"/>
      <c r="D120" s="16"/>
      <c r="E120" s="16"/>
      <c r="F120" s="16"/>
      <c r="G120" s="36"/>
    </row>
    <row r="121" spans="2:10" s="18" customFormat="1" x14ac:dyDescent="0.25">
      <c r="B121" s="45"/>
      <c r="C121" s="13" t="s">
        <v>4</v>
      </c>
      <c r="D121" s="9" t="s">
        <v>5</v>
      </c>
      <c r="E121" s="10">
        <v>6.8</v>
      </c>
      <c r="F121" s="37"/>
      <c r="G121" s="11">
        <f t="shared" ref="G121:G122" si="36">F121*E121</f>
        <v>0</v>
      </c>
    </row>
    <row r="122" spans="2:10" s="18" customFormat="1" ht="15.75" thickBot="1" x14ac:dyDescent="0.3">
      <c r="B122" s="46"/>
      <c r="C122" s="13" t="s">
        <v>12</v>
      </c>
      <c r="D122" s="9" t="s">
        <v>5</v>
      </c>
      <c r="E122" s="10">
        <v>6.5</v>
      </c>
      <c r="F122" s="37"/>
      <c r="G122" s="11">
        <f t="shared" si="36"/>
        <v>0</v>
      </c>
    </row>
    <row r="123" spans="2:10" s="18" customFormat="1" x14ac:dyDescent="0.25">
      <c r="B123" s="35" t="s">
        <v>48</v>
      </c>
      <c r="C123" s="16"/>
      <c r="D123" s="16"/>
      <c r="E123" s="16"/>
      <c r="F123" s="16"/>
      <c r="G123" s="36"/>
    </row>
    <row r="124" spans="2:10" s="18" customFormat="1" x14ac:dyDescent="0.25">
      <c r="B124" s="45"/>
      <c r="C124" s="13" t="s">
        <v>4</v>
      </c>
      <c r="D124" s="9" t="s">
        <v>5</v>
      </c>
      <c r="E124" s="10">
        <v>2.95</v>
      </c>
      <c r="F124" s="37"/>
      <c r="G124" s="11">
        <f t="shared" ref="G124:G125" si="37">F124*E124</f>
        <v>0</v>
      </c>
    </row>
    <row r="125" spans="2:10" s="18" customFormat="1" ht="15.75" thickBot="1" x14ac:dyDescent="0.3">
      <c r="B125" s="46"/>
      <c r="C125" s="13" t="s">
        <v>12</v>
      </c>
      <c r="D125" s="9" t="s">
        <v>5</v>
      </c>
      <c r="E125" s="10">
        <v>11.55</v>
      </c>
      <c r="F125" s="37"/>
      <c r="G125" s="11">
        <f t="shared" si="37"/>
        <v>0</v>
      </c>
    </row>
    <row r="126" spans="2:10" s="18" customFormat="1" x14ac:dyDescent="0.25">
      <c r="B126" s="35" t="s">
        <v>49</v>
      </c>
      <c r="C126" s="16"/>
      <c r="D126" s="16"/>
      <c r="E126" s="16"/>
      <c r="F126" s="16"/>
      <c r="G126" s="36"/>
    </row>
    <row r="127" spans="2:10" s="18" customFormat="1" x14ac:dyDescent="0.25">
      <c r="B127" s="45"/>
      <c r="C127" s="13" t="s">
        <v>4</v>
      </c>
      <c r="D127" s="9" t="s">
        <v>5</v>
      </c>
      <c r="E127" s="10">
        <v>2.5</v>
      </c>
      <c r="F127" s="37"/>
      <c r="G127" s="11">
        <f t="shared" ref="G127:G128" si="38">F127*E127</f>
        <v>0</v>
      </c>
    </row>
    <row r="128" spans="2:10" s="18" customFormat="1" ht="15.75" thickBot="1" x14ac:dyDescent="0.3">
      <c r="B128" s="46"/>
      <c r="C128" s="13" t="s">
        <v>12</v>
      </c>
      <c r="D128" s="9" t="s">
        <v>5</v>
      </c>
      <c r="E128" s="10">
        <v>10.1</v>
      </c>
      <c r="F128" s="37"/>
      <c r="G128" s="11">
        <f t="shared" si="38"/>
        <v>0</v>
      </c>
    </row>
    <row r="129" spans="2:7" s="18" customFormat="1" x14ac:dyDescent="0.25">
      <c r="B129" s="35" t="s">
        <v>50</v>
      </c>
      <c r="C129" s="16"/>
      <c r="D129" s="16"/>
      <c r="E129" s="16"/>
      <c r="F129" s="16"/>
      <c r="G129" s="36"/>
    </row>
    <row r="130" spans="2:7" s="18" customFormat="1" x14ac:dyDescent="0.25">
      <c r="B130" s="45"/>
      <c r="C130" s="13" t="s">
        <v>4</v>
      </c>
      <c r="D130" s="9" t="s">
        <v>5</v>
      </c>
      <c r="E130" s="10">
        <v>3.9</v>
      </c>
      <c r="F130" s="37"/>
      <c r="G130" s="11">
        <f t="shared" ref="G130:G131" si="39">F130*E130</f>
        <v>0</v>
      </c>
    </row>
    <row r="131" spans="2:7" s="18" customFormat="1" ht="15.75" thickBot="1" x14ac:dyDescent="0.3">
      <c r="B131" s="46"/>
      <c r="C131" s="13" t="s">
        <v>12</v>
      </c>
      <c r="D131" s="9" t="s">
        <v>5</v>
      </c>
      <c r="E131" s="10">
        <v>11.55</v>
      </c>
      <c r="F131" s="37"/>
      <c r="G131" s="11">
        <f t="shared" si="39"/>
        <v>0</v>
      </c>
    </row>
    <row r="132" spans="2:7" s="18" customFormat="1" x14ac:dyDescent="0.25">
      <c r="B132" s="35" t="s">
        <v>51</v>
      </c>
      <c r="C132" s="16"/>
      <c r="D132" s="16"/>
      <c r="E132" s="16"/>
      <c r="F132" s="16"/>
      <c r="G132" s="36"/>
    </row>
    <row r="133" spans="2:7" s="18" customFormat="1" x14ac:dyDescent="0.25">
      <c r="B133" s="45"/>
      <c r="C133" s="13" t="s">
        <v>4</v>
      </c>
      <c r="D133" s="9" t="s">
        <v>5</v>
      </c>
      <c r="E133" s="10">
        <v>2.95</v>
      </c>
      <c r="F133" s="37"/>
      <c r="G133" s="11">
        <f t="shared" ref="G133:G134" si="40">F133*E133</f>
        <v>0</v>
      </c>
    </row>
    <row r="134" spans="2:7" s="18" customFormat="1" ht="15.75" thickBot="1" x14ac:dyDescent="0.3">
      <c r="B134" s="46"/>
      <c r="C134" s="13" t="s">
        <v>12</v>
      </c>
      <c r="D134" s="9" t="s">
        <v>5</v>
      </c>
      <c r="E134" s="10">
        <v>8.65</v>
      </c>
      <c r="F134" s="37"/>
      <c r="G134" s="11">
        <f t="shared" si="40"/>
        <v>0</v>
      </c>
    </row>
    <row r="135" spans="2:7" s="18" customFormat="1" x14ac:dyDescent="0.25">
      <c r="B135" s="35" t="s">
        <v>52</v>
      </c>
      <c r="C135" s="16"/>
      <c r="D135" s="16"/>
      <c r="E135" s="16"/>
      <c r="F135" s="16"/>
      <c r="G135" s="36"/>
    </row>
    <row r="136" spans="2:7" s="18" customFormat="1" x14ac:dyDescent="0.25">
      <c r="B136" s="45"/>
      <c r="C136" s="13" t="s">
        <v>4</v>
      </c>
      <c r="D136" s="9" t="s">
        <v>5</v>
      </c>
      <c r="E136" s="10">
        <v>2.4</v>
      </c>
      <c r="F136" s="37"/>
      <c r="G136" s="11">
        <f t="shared" ref="G136:G137" si="41">F136*E136</f>
        <v>0</v>
      </c>
    </row>
    <row r="137" spans="2:7" s="18" customFormat="1" ht="15.75" thickBot="1" x14ac:dyDescent="0.3">
      <c r="B137" s="46"/>
      <c r="C137" s="13" t="s">
        <v>12</v>
      </c>
      <c r="D137" s="9" t="s">
        <v>5</v>
      </c>
      <c r="E137" s="10">
        <v>9.75</v>
      </c>
      <c r="F137" s="37"/>
      <c r="G137" s="11">
        <f t="shared" si="41"/>
        <v>0</v>
      </c>
    </row>
    <row r="138" spans="2:7" s="18" customFormat="1" x14ac:dyDescent="0.25">
      <c r="B138" s="35" t="s">
        <v>53</v>
      </c>
      <c r="C138" s="16"/>
      <c r="D138" s="16"/>
      <c r="E138" s="16"/>
      <c r="F138" s="16"/>
      <c r="G138" s="36"/>
    </row>
    <row r="139" spans="2:7" s="18" customFormat="1" x14ac:dyDescent="0.25">
      <c r="B139" s="45"/>
      <c r="C139" s="13" t="s">
        <v>4</v>
      </c>
      <c r="D139" s="9" t="s">
        <v>5</v>
      </c>
      <c r="E139" s="10">
        <v>5.75</v>
      </c>
      <c r="F139" s="37"/>
      <c r="G139" s="11">
        <f t="shared" ref="G139:G140" si="42">F139*E139</f>
        <v>0</v>
      </c>
    </row>
    <row r="140" spans="2:7" s="18" customFormat="1" ht="15.75" thickBot="1" x14ac:dyDescent="0.3">
      <c r="B140" s="46"/>
      <c r="C140" s="13" t="s">
        <v>12</v>
      </c>
      <c r="D140" s="9" t="s">
        <v>5</v>
      </c>
      <c r="E140" s="10">
        <v>16.95</v>
      </c>
      <c r="F140" s="37"/>
      <c r="G140" s="11">
        <f t="shared" si="42"/>
        <v>0</v>
      </c>
    </row>
    <row r="141" spans="2:7" s="18" customFormat="1" x14ac:dyDescent="0.25">
      <c r="B141" s="35" t="s">
        <v>54</v>
      </c>
      <c r="C141" s="16"/>
      <c r="D141" s="16"/>
      <c r="E141" s="16"/>
      <c r="F141" s="16"/>
      <c r="G141" s="36"/>
    </row>
    <row r="142" spans="2:7" s="18" customFormat="1" x14ac:dyDescent="0.25">
      <c r="B142" s="45"/>
      <c r="C142" s="13" t="s">
        <v>4</v>
      </c>
      <c r="D142" s="9" t="s">
        <v>5</v>
      </c>
      <c r="E142" s="10">
        <v>4.0999999999999996</v>
      </c>
      <c r="F142" s="37"/>
      <c r="G142" s="11">
        <f t="shared" ref="G142:G143" si="43">F142*E142</f>
        <v>0</v>
      </c>
    </row>
    <row r="143" spans="2:7" s="18" customFormat="1" ht="15.75" thickBot="1" x14ac:dyDescent="0.3">
      <c r="B143" s="46"/>
      <c r="C143" s="13" t="s">
        <v>12</v>
      </c>
      <c r="D143" s="9" t="s">
        <v>5</v>
      </c>
      <c r="E143" s="10">
        <v>17.3</v>
      </c>
      <c r="F143" s="37"/>
      <c r="G143" s="11">
        <f t="shared" si="43"/>
        <v>0</v>
      </c>
    </row>
    <row r="144" spans="2:7" s="18" customFormat="1" x14ac:dyDescent="0.25">
      <c r="B144" s="35" t="s">
        <v>55</v>
      </c>
      <c r="C144" s="16"/>
      <c r="D144" s="16"/>
      <c r="E144" s="16"/>
      <c r="F144" s="16"/>
      <c r="G144" s="36"/>
    </row>
    <row r="145" spans="2:7" s="18" customFormat="1" x14ac:dyDescent="0.25">
      <c r="B145" s="45"/>
      <c r="C145" s="13" t="s">
        <v>6</v>
      </c>
      <c r="D145" s="9" t="s">
        <v>5</v>
      </c>
      <c r="E145" s="10">
        <v>3.4</v>
      </c>
      <c r="F145" s="37"/>
      <c r="G145" s="11">
        <f t="shared" ref="G145:G146" si="44">F145*E145</f>
        <v>0</v>
      </c>
    </row>
    <row r="146" spans="2:7" s="18" customFormat="1" ht="15.75" thickBot="1" x14ac:dyDescent="0.3">
      <c r="B146" s="46"/>
      <c r="C146" s="13" t="s">
        <v>12</v>
      </c>
      <c r="D146" s="9" t="s">
        <v>5</v>
      </c>
      <c r="E146" s="10">
        <v>6.85</v>
      </c>
      <c r="F146" s="37"/>
      <c r="G146" s="11">
        <f t="shared" si="44"/>
        <v>0</v>
      </c>
    </row>
    <row r="147" spans="2:7" s="18" customFormat="1" x14ac:dyDescent="0.25">
      <c r="B147" s="35" t="s">
        <v>56</v>
      </c>
      <c r="C147" s="16"/>
      <c r="D147" s="16"/>
      <c r="E147" s="16"/>
      <c r="F147" s="16"/>
      <c r="G147" s="36"/>
    </row>
    <row r="148" spans="2:7" s="18" customFormat="1" x14ac:dyDescent="0.25">
      <c r="B148" s="45"/>
      <c r="C148" s="13" t="s">
        <v>4</v>
      </c>
      <c r="D148" s="9" t="s">
        <v>5</v>
      </c>
      <c r="E148" s="10">
        <v>3.6</v>
      </c>
      <c r="F148" s="37"/>
      <c r="G148" s="11">
        <f t="shared" ref="G148:G149" si="45">F148*E148</f>
        <v>0</v>
      </c>
    </row>
    <row r="149" spans="2:7" s="18" customFormat="1" ht="15.75" thickBot="1" x14ac:dyDescent="0.3">
      <c r="B149" s="46"/>
      <c r="C149" s="13" t="s">
        <v>12</v>
      </c>
      <c r="D149" s="9" t="s">
        <v>5</v>
      </c>
      <c r="E149" s="10">
        <v>6.5</v>
      </c>
      <c r="F149" s="37"/>
      <c r="G149" s="11">
        <f t="shared" si="45"/>
        <v>0</v>
      </c>
    </row>
    <row r="150" spans="2:7" s="18" customFormat="1" x14ac:dyDescent="0.25">
      <c r="B150" s="35" t="s">
        <v>57</v>
      </c>
      <c r="C150" s="16"/>
      <c r="D150" s="16"/>
      <c r="E150" s="16"/>
      <c r="F150" s="16"/>
      <c r="G150" s="36"/>
    </row>
    <row r="151" spans="2:7" s="18" customFormat="1" x14ac:dyDescent="0.25">
      <c r="B151" s="45"/>
      <c r="C151" s="13" t="s">
        <v>4</v>
      </c>
      <c r="D151" s="9" t="s">
        <v>5</v>
      </c>
      <c r="E151" s="10">
        <v>2.5499999999999998</v>
      </c>
      <c r="F151" s="37"/>
      <c r="G151" s="11">
        <f t="shared" ref="G151:G152" si="46">F151*E151</f>
        <v>0</v>
      </c>
    </row>
    <row r="152" spans="2:7" s="18" customFormat="1" ht="15.75" thickBot="1" x14ac:dyDescent="0.3">
      <c r="B152" s="46"/>
      <c r="C152" s="13" t="s">
        <v>12</v>
      </c>
      <c r="D152" s="9" t="s">
        <v>5</v>
      </c>
      <c r="E152" s="10">
        <v>8.65</v>
      </c>
      <c r="F152" s="37"/>
      <c r="G152" s="11">
        <f t="shared" si="46"/>
        <v>0</v>
      </c>
    </row>
    <row r="153" spans="2:7" s="18" customFormat="1" x14ac:dyDescent="0.25">
      <c r="B153" s="35" t="s">
        <v>58</v>
      </c>
      <c r="C153" s="16"/>
      <c r="D153" s="16"/>
      <c r="E153" s="16"/>
      <c r="F153" s="16"/>
      <c r="G153" s="36"/>
    </row>
    <row r="154" spans="2:7" s="18" customFormat="1" x14ac:dyDescent="0.25">
      <c r="B154" s="45"/>
      <c r="C154" s="13" t="s">
        <v>4</v>
      </c>
      <c r="D154" s="9" t="s">
        <v>5</v>
      </c>
      <c r="E154" s="10">
        <v>3.25</v>
      </c>
      <c r="F154" s="37"/>
      <c r="G154" s="11">
        <f t="shared" ref="G154:G155" si="47">F154*E154</f>
        <v>0</v>
      </c>
    </row>
    <row r="155" spans="2:7" s="18" customFormat="1" ht="15.75" thickBot="1" x14ac:dyDescent="0.3">
      <c r="B155" s="46"/>
      <c r="C155" s="13" t="s">
        <v>12</v>
      </c>
      <c r="D155" s="9" t="s">
        <v>5</v>
      </c>
      <c r="E155" s="10">
        <v>8.3000000000000007</v>
      </c>
      <c r="F155" s="37"/>
      <c r="G155" s="11">
        <f t="shared" si="47"/>
        <v>0</v>
      </c>
    </row>
    <row r="156" spans="2:7" s="18" customFormat="1" x14ac:dyDescent="0.25">
      <c r="B156" s="35" t="s">
        <v>59</v>
      </c>
      <c r="C156" s="16"/>
      <c r="D156" s="16"/>
      <c r="E156" s="16"/>
      <c r="F156" s="16"/>
      <c r="G156" s="36"/>
    </row>
    <row r="157" spans="2:7" s="18" customFormat="1" x14ac:dyDescent="0.25">
      <c r="B157" s="45"/>
      <c r="C157" s="13" t="s">
        <v>4</v>
      </c>
      <c r="D157" s="9" t="s">
        <v>5</v>
      </c>
      <c r="E157" s="10">
        <v>5</v>
      </c>
      <c r="F157" s="37"/>
      <c r="G157" s="11">
        <f t="shared" ref="G157:G158" si="48">F157*E157</f>
        <v>0</v>
      </c>
    </row>
    <row r="158" spans="2:7" s="18" customFormat="1" ht="15.75" thickBot="1" x14ac:dyDescent="0.3">
      <c r="B158" s="46"/>
      <c r="C158" s="13" t="s">
        <v>12</v>
      </c>
      <c r="D158" s="9" t="s">
        <v>5</v>
      </c>
      <c r="E158" s="10">
        <v>27.5</v>
      </c>
      <c r="F158" s="37"/>
      <c r="G158" s="11">
        <f t="shared" si="48"/>
        <v>0</v>
      </c>
    </row>
    <row r="159" spans="2:7" s="18" customFormat="1" x14ac:dyDescent="0.25">
      <c r="B159" s="35" t="s">
        <v>60</v>
      </c>
      <c r="C159" s="16"/>
      <c r="D159" s="16"/>
      <c r="E159" s="16"/>
      <c r="F159" s="16"/>
      <c r="G159" s="36"/>
    </row>
    <row r="160" spans="2:7" s="18" customFormat="1" x14ac:dyDescent="0.25">
      <c r="B160" s="45"/>
      <c r="C160" s="13" t="s">
        <v>6</v>
      </c>
      <c r="D160" s="9" t="s">
        <v>5</v>
      </c>
      <c r="E160" s="10">
        <v>4.75</v>
      </c>
      <c r="F160" s="37"/>
      <c r="G160" s="11">
        <f t="shared" ref="G160:G161" si="49">F160*E160</f>
        <v>0</v>
      </c>
    </row>
    <row r="161" spans="2:7" s="18" customFormat="1" ht="15.75" thickBot="1" x14ac:dyDescent="0.3">
      <c r="B161" s="46"/>
      <c r="C161" s="13" t="s">
        <v>12</v>
      </c>
      <c r="D161" s="9" t="s">
        <v>5</v>
      </c>
      <c r="E161" s="10">
        <v>0</v>
      </c>
      <c r="F161" s="37"/>
      <c r="G161" s="11">
        <f t="shared" si="49"/>
        <v>0</v>
      </c>
    </row>
    <row r="162" spans="2:7" s="18" customFormat="1" x14ac:dyDescent="0.25">
      <c r="B162" s="35" t="s">
        <v>43</v>
      </c>
      <c r="C162" s="16"/>
      <c r="D162" s="16"/>
      <c r="E162" s="16"/>
      <c r="F162" s="16"/>
      <c r="G162" s="36"/>
    </row>
    <row r="163" spans="2:7" s="18" customFormat="1" x14ac:dyDescent="0.25">
      <c r="B163" s="45"/>
      <c r="C163" s="13" t="s">
        <v>6</v>
      </c>
      <c r="D163" s="9" t="s">
        <v>5</v>
      </c>
      <c r="E163" s="10">
        <v>2.2999999999999998</v>
      </c>
      <c r="F163" s="37"/>
      <c r="G163" s="11">
        <f t="shared" ref="G163:G164" si="50">F163*E163</f>
        <v>0</v>
      </c>
    </row>
    <row r="164" spans="2:7" s="18" customFormat="1" ht="15.75" thickBot="1" x14ac:dyDescent="0.3">
      <c r="B164" s="46"/>
      <c r="C164" s="13" t="s">
        <v>12</v>
      </c>
      <c r="D164" s="9" t="s">
        <v>5</v>
      </c>
      <c r="E164" s="10">
        <v>0</v>
      </c>
      <c r="F164" s="37"/>
      <c r="G164" s="11">
        <f t="shared" si="50"/>
        <v>0</v>
      </c>
    </row>
    <row r="165" spans="2:7" s="18" customFormat="1" x14ac:dyDescent="0.25">
      <c r="B165" s="35" t="s">
        <v>62</v>
      </c>
      <c r="C165" s="16"/>
      <c r="D165" s="16"/>
      <c r="E165" s="16"/>
      <c r="F165" s="16"/>
      <c r="G165" s="36"/>
    </row>
    <row r="166" spans="2:7" s="18" customFormat="1" x14ac:dyDescent="0.25">
      <c r="B166" s="45"/>
      <c r="C166" s="13" t="s">
        <v>4</v>
      </c>
      <c r="D166" s="9" t="s">
        <v>5</v>
      </c>
      <c r="E166" s="10">
        <v>14.3</v>
      </c>
      <c r="F166" s="37"/>
      <c r="G166" s="11">
        <f t="shared" ref="G166:G167" si="51">F166*E166</f>
        <v>0</v>
      </c>
    </row>
    <row r="167" spans="2:7" s="18" customFormat="1" ht="15.75" thickBot="1" x14ac:dyDescent="0.3">
      <c r="B167" s="46"/>
      <c r="C167" s="13" t="s">
        <v>12</v>
      </c>
      <c r="D167" s="9" t="s">
        <v>5</v>
      </c>
      <c r="E167" s="10">
        <v>14.05</v>
      </c>
      <c r="F167" s="37"/>
      <c r="G167" s="11">
        <f t="shared" si="51"/>
        <v>0</v>
      </c>
    </row>
    <row r="168" spans="2:7" s="18" customFormat="1" x14ac:dyDescent="0.25">
      <c r="B168" s="35" t="s">
        <v>61</v>
      </c>
      <c r="C168" s="16"/>
      <c r="D168" s="16"/>
      <c r="E168" s="16"/>
      <c r="F168" s="16"/>
      <c r="G168" s="36"/>
    </row>
    <row r="169" spans="2:7" s="18" customFormat="1" x14ac:dyDescent="0.25">
      <c r="B169" s="45"/>
      <c r="C169" s="13" t="s">
        <v>4</v>
      </c>
      <c r="D169" s="9" t="s">
        <v>5</v>
      </c>
      <c r="E169" s="10">
        <v>5.65</v>
      </c>
      <c r="F169" s="37"/>
      <c r="G169" s="11">
        <f t="shared" ref="G169:G170" si="52">F169*E169</f>
        <v>0</v>
      </c>
    </row>
    <row r="170" spans="2:7" s="18" customFormat="1" ht="15.75" thickBot="1" x14ac:dyDescent="0.3">
      <c r="B170" s="46"/>
      <c r="C170" s="13" t="s">
        <v>12</v>
      </c>
      <c r="D170" s="9" t="s">
        <v>5</v>
      </c>
      <c r="E170" s="10">
        <v>13</v>
      </c>
      <c r="F170" s="37"/>
      <c r="G170" s="11">
        <f t="shared" si="52"/>
        <v>0</v>
      </c>
    </row>
    <row r="171" spans="2:7" s="18" customFormat="1" x14ac:dyDescent="0.25">
      <c r="B171" s="35" t="s">
        <v>63</v>
      </c>
      <c r="C171" s="16"/>
      <c r="D171" s="16"/>
      <c r="E171" s="16"/>
      <c r="F171" s="16"/>
      <c r="G171" s="36"/>
    </row>
    <row r="172" spans="2:7" s="18" customFormat="1" x14ac:dyDescent="0.25">
      <c r="B172" s="45"/>
      <c r="C172" s="13" t="s">
        <v>4</v>
      </c>
      <c r="D172" s="9" t="s">
        <v>5</v>
      </c>
      <c r="E172" s="10">
        <v>5.05</v>
      </c>
      <c r="F172" s="37"/>
      <c r="G172" s="11">
        <f t="shared" ref="G172:G173" si="53">F172*E172</f>
        <v>0</v>
      </c>
    </row>
    <row r="173" spans="2:7" s="18" customFormat="1" ht="15.75" thickBot="1" x14ac:dyDescent="0.3">
      <c r="B173" s="46"/>
      <c r="C173" s="13" t="s">
        <v>12</v>
      </c>
      <c r="D173" s="9" t="s">
        <v>5</v>
      </c>
      <c r="E173" s="10">
        <v>7.6</v>
      </c>
      <c r="F173" s="37"/>
      <c r="G173" s="11">
        <f t="shared" si="53"/>
        <v>0</v>
      </c>
    </row>
    <row r="174" spans="2:7" s="18" customFormat="1" x14ac:dyDescent="0.25">
      <c r="B174" s="35" t="s">
        <v>19</v>
      </c>
      <c r="C174" s="16"/>
      <c r="D174" s="16"/>
      <c r="E174" s="16"/>
      <c r="F174" s="16"/>
      <c r="G174" s="36"/>
    </row>
    <row r="175" spans="2:7" s="18" customFormat="1" x14ac:dyDescent="0.25">
      <c r="B175" s="45"/>
      <c r="C175" s="13" t="s">
        <v>6</v>
      </c>
      <c r="D175" s="9" t="s">
        <v>5</v>
      </c>
      <c r="E175" s="10">
        <v>5.05</v>
      </c>
      <c r="F175" s="37"/>
      <c r="G175" s="11">
        <f t="shared" ref="G175:G176" si="54">F175*E175</f>
        <v>0</v>
      </c>
    </row>
    <row r="176" spans="2:7" s="18" customFormat="1" ht="15.75" thickBot="1" x14ac:dyDescent="0.3">
      <c r="B176" s="46"/>
      <c r="C176" s="13" t="s">
        <v>12</v>
      </c>
      <c r="D176" s="9" t="s">
        <v>5</v>
      </c>
      <c r="E176" s="10">
        <v>0</v>
      </c>
      <c r="F176" s="37"/>
      <c r="G176" s="11">
        <f t="shared" si="54"/>
        <v>0</v>
      </c>
    </row>
    <row r="177" spans="2:7" s="18" customFormat="1" x14ac:dyDescent="0.25">
      <c r="B177" s="35" t="s">
        <v>64</v>
      </c>
      <c r="C177" s="16"/>
      <c r="D177" s="16"/>
      <c r="E177" s="16"/>
      <c r="F177" s="16"/>
      <c r="G177" s="36"/>
    </row>
    <row r="178" spans="2:7" s="18" customFormat="1" x14ac:dyDescent="0.25">
      <c r="B178" s="45"/>
      <c r="C178" s="13" t="s">
        <v>4</v>
      </c>
      <c r="D178" s="9" t="s">
        <v>5</v>
      </c>
      <c r="E178" s="10">
        <v>3.9</v>
      </c>
      <c r="F178" s="37"/>
      <c r="G178" s="11">
        <f t="shared" ref="G178:G179" si="55">F178*E178</f>
        <v>0</v>
      </c>
    </row>
    <row r="179" spans="2:7" s="18" customFormat="1" ht="15.75" thickBot="1" x14ac:dyDescent="0.3">
      <c r="B179" s="46"/>
      <c r="C179" s="13" t="s">
        <v>12</v>
      </c>
      <c r="D179" s="9" t="s">
        <v>5</v>
      </c>
      <c r="E179" s="10">
        <v>15.15</v>
      </c>
      <c r="F179" s="37"/>
      <c r="G179" s="11">
        <f t="shared" si="55"/>
        <v>0</v>
      </c>
    </row>
    <row r="180" spans="2:7" s="18" customFormat="1" x14ac:dyDescent="0.25">
      <c r="B180" s="35" t="s">
        <v>66</v>
      </c>
      <c r="C180" s="16"/>
      <c r="D180" s="16"/>
      <c r="E180" s="16"/>
      <c r="F180" s="16"/>
      <c r="G180" s="36"/>
    </row>
    <row r="181" spans="2:7" s="18" customFormat="1" x14ac:dyDescent="0.25">
      <c r="B181" s="45"/>
      <c r="C181" s="13" t="s">
        <v>4</v>
      </c>
      <c r="D181" s="9" t="s">
        <v>5</v>
      </c>
      <c r="E181" s="10">
        <v>6.8</v>
      </c>
      <c r="F181" s="37"/>
      <c r="G181" s="11">
        <f t="shared" ref="G181:G182" si="56">F181*E181</f>
        <v>0</v>
      </c>
    </row>
    <row r="182" spans="2:7" s="18" customFormat="1" ht="15.75" thickBot="1" x14ac:dyDescent="0.3">
      <c r="B182" s="46"/>
      <c r="C182" s="13" t="s">
        <v>12</v>
      </c>
      <c r="D182" s="9" t="s">
        <v>5</v>
      </c>
      <c r="E182" s="10">
        <v>6.5</v>
      </c>
      <c r="F182" s="37"/>
      <c r="G182" s="11">
        <f t="shared" si="56"/>
        <v>0</v>
      </c>
    </row>
    <row r="183" spans="2:7" s="18" customFormat="1" x14ac:dyDescent="0.25">
      <c r="B183" s="35" t="s">
        <v>19</v>
      </c>
      <c r="C183" s="16"/>
      <c r="D183" s="16"/>
      <c r="E183" s="16"/>
      <c r="F183" s="16"/>
      <c r="G183" s="36"/>
    </row>
    <row r="184" spans="2:7" s="18" customFormat="1" x14ac:dyDescent="0.25">
      <c r="B184" s="45"/>
      <c r="C184" s="13" t="s">
        <v>6</v>
      </c>
      <c r="D184" s="9" t="s">
        <v>5</v>
      </c>
      <c r="E184" s="10">
        <v>8.35</v>
      </c>
      <c r="F184" s="37"/>
      <c r="G184" s="11">
        <f t="shared" ref="G184:G185" si="57">F184*E184</f>
        <v>0</v>
      </c>
    </row>
    <row r="185" spans="2:7" s="18" customFormat="1" ht="15.75" thickBot="1" x14ac:dyDescent="0.3">
      <c r="B185" s="46"/>
      <c r="C185" s="13" t="s">
        <v>12</v>
      </c>
      <c r="D185" s="9" t="s">
        <v>5</v>
      </c>
      <c r="E185" s="10">
        <v>0</v>
      </c>
      <c r="F185" s="37"/>
      <c r="G185" s="11">
        <f t="shared" si="57"/>
        <v>0</v>
      </c>
    </row>
    <row r="186" spans="2:7" s="18" customFormat="1" x14ac:dyDescent="0.25">
      <c r="B186" s="35" t="s">
        <v>65</v>
      </c>
      <c r="C186" s="16"/>
      <c r="D186" s="16"/>
      <c r="E186" s="16"/>
      <c r="F186" s="16"/>
      <c r="G186" s="36"/>
    </row>
    <row r="187" spans="2:7" s="18" customFormat="1" x14ac:dyDescent="0.25">
      <c r="B187" s="45"/>
      <c r="C187" s="13" t="s">
        <v>4</v>
      </c>
      <c r="D187" s="9" t="s">
        <v>5</v>
      </c>
      <c r="E187" s="10">
        <v>3.75</v>
      </c>
      <c r="F187" s="37"/>
      <c r="G187" s="11">
        <f t="shared" ref="G187:G188" si="58">F187*E187</f>
        <v>0</v>
      </c>
    </row>
    <row r="188" spans="2:7" s="18" customFormat="1" ht="15.75" thickBot="1" x14ac:dyDescent="0.3">
      <c r="B188" s="46"/>
      <c r="C188" s="13" t="s">
        <v>12</v>
      </c>
      <c r="D188" s="9" t="s">
        <v>5</v>
      </c>
      <c r="E188" s="10">
        <v>9.75</v>
      </c>
      <c r="F188" s="37"/>
      <c r="G188" s="11">
        <f t="shared" si="58"/>
        <v>0</v>
      </c>
    </row>
    <row r="189" spans="2:7" s="18" customFormat="1" x14ac:dyDescent="0.25">
      <c r="B189" s="35" t="s">
        <v>15</v>
      </c>
      <c r="C189" s="16"/>
      <c r="D189" s="16"/>
      <c r="E189" s="16"/>
      <c r="F189" s="16"/>
      <c r="G189" s="36"/>
    </row>
    <row r="190" spans="2:7" s="18" customFormat="1" x14ac:dyDescent="0.25">
      <c r="B190" s="45"/>
      <c r="C190" s="13" t="s">
        <v>6</v>
      </c>
      <c r="D190" s="9" t="s">
        <v>5</v>
      </c>
      <c r="E190" s="10">
        <v>3.35</v>
      </c>
      <c r="F190" s="37"/>
      <c r="G190" s="11">
        <f t="shared" ref="G190:G191" si="59">F190*E190</f>
        <v>0</v>
      </c>
    </row>
    <row r="191" spans="2:7" s="18" customFormat="1" ht="15.75" thickBot="1" x14ac:dyDescent="0.3">
      <c r="B191" s="46"/>
      <c r="C191" s="13" t="s">
        <v>12</v>
      </c>
      <c r="D191" s="9" t="s">
        <v>5</v>
      </c>
      <c r="E191" s="10">
        <v>23.4</v>
      </c>
      <c r="F191" s="37"/>
      <c r="G191" s="11">
        <f t="shared" si="59"/>
        <v>0</v>
      </c>
    </row>
    <row r="192" spans="2:7" s="18" customFormat="1" ht="15.75" thickBot="1" x14ac:dyDescent="0.3">
      <c r="B192" s="72" t="s">
        <v>7</v>
      </c>
      <c r="C192" s="73"/>
      <c r="D192" s="73"/>
      <c r="E192" s="73"/>
      <c r="F192" s="74"/>
      <c r="G192" s="12">
        <f>SUM(G118:G191)</f>
        <v>0</v>
      </c>
    </row>
    <row r="193" spans="2:7" s="18" customFormat="1" ht="15.75" thickBot="1" x14ac:dyDescent="0.3">
      <c r="B193" s="8">
        <v>3</v>
      </c>
      <c r="C193" s="63" t="s">
        <v>67</v>
      </c>
      <c r="D193" s="64"/>
      <c r="E193" s="64"/>
      <c r="F193" s="64"/>
      <c r="G193" s="65"/>
    </row>
    <row r="194" spans="2:7" s="18" customFormat="1" x14ac:dyDescent="0.25">
      <c r="B194" s="35" t="s">
        <v>71</v>
      </c>
      <c r="C194" s="16"/>
      <c r="D194" s="16"/>
      <c r="E194" s="16"/>
      <c r="F194" s="16"/>
      <c r="G194" s="36"/>
    </row>
    <row r="195" spans="2:7" s="18" customFormat="1" x14ac:dyDescent="0.25">
      <c r="B195" s="45"/>
      <c r="C195" s="13" t="s">
        <v>4</v>
      </c>
      <c r="D195" s="9" t="s">
        <v>5</v>
      </c>
      <c r="E195" s="10">
        <v>6.7</v>
      </c>
      <c r="F195" s="37"/>
      <c r="G195" s="11">
        <f t="shared" ref="G195:G196" si="60">F195*E195</f>
        <v>0</v>
      </c>
    </row>
    <row r="196" spans="2:7" s="18" customFormat="1" ht="15.75" thickBot="1" x14ac:dyDescent="0.3">
      <c r="B196" s="46"/>
      <c r="C196" s="13" t="s">
        <v>12</v>
      </c>
      <c r="D196" s="9" t="s">
        <v>5</v>
      </c>
      <c r="E196" s="10">
        <v>0</v>
      </c>
      <c r="F196" s="37"/>
      <c r="G196" s="11">
        <f t="shared" si="60"/>
        <v>0</v>
      </c>
    </row>
    <row r="197" spans="2:7" s="18" customFormat="1" x14ac:dyDescent="0.25">
      <c r="B197" s="35" t="s">
        <v>69</v>
      </c>
      <c r="C197" s="16"/>
      <c r="D197" s="16"/>
      <c r="E197" s="16"/>
      <c r="F197" s="16"/>
      <c r="G197" s="36"/>
    </row>
    <row r="198" spans="2:7" s="18" customFormat="1" x14ac:dyDescent="0.25">
      <c r="B198" s="45"/>
      <c r="C198" s="13" t="s">
        <v>4</v>
      </c>
      <c r="D198" s="9" t="s">
        <v>5</v>
      </c>
      <c r="E198" s="10">
        <v>0</v>
      </c>
      <c r="F198" s="37"/>
      <c r="G198" s="11">
        <f t="shared" ref="G198:G199" si="61">F198*E198</f>
        <v>0</v>
      </c>
    </row>
    <row r="199" spans="2:7" s="18" customFormat="1" ht="15.75" thickBot="1" x14ac:dyDescent="0.3">
      <c r="B199" s="46"/>
      <c r="C199" s="13" t="s">
        <v>12</v>
      </c>
      <c r="D199" s="9" t="s">
        <v>5</v>
      </c>
      <c r="E199" s="10">
        <v>17.95</v>
      </c>
      <c r="F199" s="37"/>
      <c r="G199" s="11">
        <f t="shared" si="61"/>
        <v>0</v>
      </c>
    </row>
    <row r="200" spans="2:7" s="18" customFormat="1" x14ac:dyDescent="0.25">
      <c r="B200" s="35" t="s">
        <v>20</v>
      </c>
      <c r="C200" s="16"/>
      <c r="D200" s="16"/>
      <c r="E200" s="16"/>
      <c r="F200" s="16"/>
      <c r="G200" s="36"/>
    </row>
    <row r="201" spans="2:7" s="18" customFormat="1" x14ac:dyDescent="0.25">
      <c r="B201" s="45"/>
      <c r="C201" s="13" t="s">
        <v>4</v>
      </c>
      <c r="D201" s="9" t="s">
        <v>5</v>
      </c>
      <c r="E201" s="10">
        <v>0</v>
      </c>
      <c r="F201" s="37"/>
      <c r="G201" s="11">
        <f t="shared" ref="G201:G202" si="62">F201*E201</f>
        <v>0</v>
      </c>
    </row>
    <row r="202" spans="2:7" s="18" customFormat="1" ht="15.75" thickBot="1" x14ac:dyDescent="0.3">
      <c r="B202" s="46"/>
      <c r="C202" s="13" t="s">
        <v>12</v>
      </c>
      <c r="D202" s="9" t="s">
        <v>5</v>
      </c>
      <c r="E202" s="10">
        <v>12.4</v>
      </c>
      <c r="F202" s="37"/>
      <c r="G202" s="11">
        <f t="shared" si="62"/>
        <v>0</v>
      </c>
    </row>
    <row r="203" spans="2:7" s="18" customFormat="1" x14ac:dyDescent="0.25">
      <c r="B203" s="35" t="s">
        <v>21</v>
      </c>
      <c r="C203" s="16"/>
      <c r="D203" s="16"/>
      <c r="E203" s="16"/>
      <c r="F203" s="16"/>
      <c r="G203" s="36"/>
    </row>
    <row r="204" spans="2:7" s="18" customFormat="1" x14ac:dyDescent="0.25">
      <c r="B204" s="45"/>
      <c r="C204" s="13" t="s">
        <v>4</v>
      </c>
      <c r="D204" s="9" t="s">
        <v>5</v>
      </c>
      <c r="E204" s="10">
        <v>0</v>
      </c>
      <c r="F204" s="37"/>
      <c r="G204" s="11">
        <f t="shared" ref="G204:G205" si="63">F204*E204</f>
        <v>0</v>
      </c>
    </row>
    <row r="205" spans="2:7" s="18" customFormat="1" ht="15.75" thickBot="1" x14ac:dyDescent="0.3">
      <c r="B205" s="46"/>
      <c r="C205" s="13" t="s">
        <v>12</v>
      </c>
      <c r="D205" s="9" t="s">
        <v>5</v>
      </c>
      <c r="E205" s="10">
        <v>5.35</v>
      </c>
      <c r="F205" s="37"/>
      <c r="G205" s="11">
        <f t="shared" si="63"/>
        <v>0</v>
      </c>
    </row>
    <row r="206" spans="2:7" s="18" customFormat="1" x14ac:dyDescent="0.25">
      <c r="B206" s="35" t="s">
        <v>70</v>
      </c>
      <c r="C206" s="16"/>
      <c r="D206" s="16"/>
      <c r="E206" s="16"/>
      <c r="F206" s="16"/>
      <c r="G206" s="36"/>
    </row>
    <row r="207" spans="2:7" s="18" customFormat="1" x14ac:dyDescent="0.25">
      <c r="B207" s="45"/>
      <c r="C207" s="13" t="s">
        <v>4</v>
      </c>
      <c r="D207" s="9" t="s">
        <v>5</v>
      </c>
      <c r="E207" s="10">
        <v>0</v>
      </c>
      <c r="F207" s="37"/>
      <c r="G207" s="11">
        <f t="shared" ref="G207:G208" si="64">F207*E207</f>
        <v>0</v>
      </c>
    </row>
    <row r="208" spans="2:7" s="18" customFormat="1" ht="15.75" thickBot="1" x14ac:dyDescent="0.3">
      <c r="B208" s="46"/>
      <c r="C208" s="13" t="s">
        <v>12</v>
      </c>
      <c r="D208" s="9" t="s">
        <v>5</v>
      </c>
      <c r="E208" s="10">
        <v>4.3</v>
      </c>
      <c r="F208" s="37"/>
      <c r="G208" s="11">
        <f t="shared" si="64"/>
        <v>0</v>
      </c>
    </row>
    <row r="209" spans="2:7" s="18" customFormat="1" x14ac:dyDescent="0.25">
      <c r="B209" s="35" t="s">
        <v>35</v>
      </c>
      <c r="C209" s="16"/>
      <c r="D209" s="16"/>
      <c r="E209" s="16"/>
      <c r="F209" s="16"/>
      <c r="G209" s="36"/>
    </row>
    <row r="210" spans="2:7" s="18" customFormat="1" x14ac:dyDescent="0.25">
      <c r="B210" s="45"/>
      <c r="C210" s="13" t="s">
        <v>4</v>
      </c>
      <c r="D210" s="9" t="s">
        <v>5</v>
      </c>
      <c r="E210" s="10">
        <v>0</v>
      </c>
      <c r="F210" s="37"/>
      <c r="G210" s="11">
        <f t="shared" ref="G210:G211" si="65">F210*E210</f>
        <v>0</v>
      </c>
    </row>
    <row r="211" spans="2:7" s="18" customFormat="1" ht="15.75" thickBot="1" x14ac:dyDescent="0.3">
      <c r="B211" s="46"/>
      <c r="C211" s="13" t="s">
        <v>12</v>
      </c>
      <c r="D211" s="9" t="s">
        <v>5</v>
      </c>
      <c r="E211" s="10">
        <v>18.350000000000001</v>
      </c>
      <c r="F211" s="37"/>
      <c r="G211" s="11">
        <f t="shared" si="65"/>
        <v>0</v>
      </c>
    </row>
    <row r="212" spans="2:7" s="18" customFormat="1" x14ac:dyDescent="0.25">
      <c r="B212" s="35" t="s">
        <v>72</v>
      </c>
      <c r="C212" s="16"/>
      <c r="D212" s="16"/>
      <c r="E212" s="16"/>
      <c r="F212" s="16"/>
      <c r="G212" s="36"/>
    </row>
    <row r="213" spans="2:7" s="18" customFormat="1" x14ac:dyDescent="0.25">
      <c r="B213" s="45"/>
      <c r="C213" s="13" t="s">
        <v>4</v>
      </c>
      <c r="D213" s="9" t="s">
        <v>5</v>
      </c>
      <c r="E213" s="10">
        <v>7.85</v>
      </c>
      <c r="F213" s="37"/>
      <c r="G213" s="11">
        <f t="shared" ref="G213:G214" si="66">F213*E213</f>
        <v>0</v>
      </c>
    </row>
    <row r="214" spans="2:7" s="18" customFormat="1" ht="15.75" thickBot="1" x14ac:dyDescent="0.3">
      <c r="B214" s="46"/>
      <c r="C214" s="13" t="s">
        <v>12</v>
      </c>
      <c r="D214" s="9" t="s">
        <v>5</v>
      </c>
      <c r="E214" s="10">
        <v>12.25</v>
      </c>
      <c r="F214" s="37"/>
      <c r="G214" s="11">
        <f t="shared" si="66"/>
        <v>0</v>
      </c>
    </row>
    <row r="215" spans="2:7" s="18" customFormat="1" x14ac:dyDescent="0.25">
      <c r="B215" s="35" t="s">
        <v>73</v>
      </c>
      <c r="C215" s="16"/>
      <c r="D215" s="16"/>
      <c r="E215" s="16"/>
      <c r="F215" s="16"/>
      <c r="G215" s="36"/>
    </row>
    <row r="216" spans="2:7" s="18" customFormat="1" x14ac:dyDescent="0.25">
      <c r="B216" s="45"/>
      <c r="C216" s="13" t="s">
        <v>4</v>
      </c>
      <c r="D216" s="9" t="s">
        <v>5</v>
      </c>
      <c r="E216" s="10">
        <v>3.85</v>
      </c>
      <c r="F216" s="37"/>
      <c r="G216" s="11">
        <f t="shared" ref="G216:G217" si="67">F216*E216</f>
        <v>0</v>
      </c>
    </row>
    <row r="217" spans="2:7" s="18" customFormat="1" ht="15.75" thickBot="1" x14ac:dyDescent="0.3">
      <c r="B217" s="46"/>
      <c r="C217" s="13" t="s">
        <v>12</v>
      </c>
      <c r="D217" s="9" t="s">
        <v>5</v>
      </c>
      <c r="E217" s="10">
        <v>4.3499999999999996</v>
      </c>
      <c r="F217" s="37"/>
      <c r="G217" s="11">
        <f t="shared" si="67"/>
        <v>0</v>
      </c>
    </row>
    <row r="218" spans="2:7" s="18" customFormat="1" x14ac:dyDescent="0.25">
      <c r="B218" s="35" t="s">
        <v>74</v>
      </c>
      <c r="C218" s="16"/>
      <c r="D218" s="16"/>
      <c r="E218" s="16"/>
      <c r="F218" s="16"/>
      <c r="G218" s="36"/>
    </row>
    <row r="219" spans="2:7" s="18" customFormat="1" x14ac:dyDescent="0.25">
      <c r="B219" s="45"/>
      <c r="C219" s="13" t="s">
        <v>4</v>
      </c>
      <c r="D219" s="9" t="s">
        <v>5</v>
      </c>
      <c r="E219" s="10">
        <v>3.8530000000000002</v>
      </c>
      <c r="F219" s="37"/>
      <c r="G219" s="11">
        <f t="shared" ref="G219:G220" si="68">F219*E219</f>
        <v>0</v>
      </c>
    </row>
    <row r="220" spans="2:7" s="18" customFormat="1" ht="15.75" thickBot="1" x14ac:dyDescent="0.3">
      <c r="B220" s="46"/>
      <c r="C220" s="13" t="s">
        <v>12</v>
      </c>
      <c r="D220" s="9" t="s">
        <v>5</v>
      </c>
      <c r="E220" s="10">
        <v>5.4</v>
      </c>
      <c r="F220" s="37"/>
      <c r="G220" s="11">
        <f t="shared" si="68"/>
        <v>0</v>
      </c>
    </row>
    <row r="221" spans="2:7" s="18" customFormat="1" x14ac:dyDescent="0.25">
      <c r="B221" s="35" t="s">
        <v>75</v>
      </c>
      <c r="C221" s="16"/>
      <c r="D221" s="16"/>
      <c r="E221" s="16"/>
      <c r="F221" s="16"/>
      <c r="G221" s="36"/>
    </row>
    <row r="222" spans="2:7" s="18" customFormat="1" x14ac:dyDescent="0.25">
      <c r="B222" s="45"/>
      <c r="C222" s="13" t="s">
        <v>6</v>
      </c>
      <c r="D222" s="9" t="s">
        <v>5</v>
      </c>
      <c r="E222" s="10">
        <v>4.0999999999999996</v>
      </c>
      <c r="F222" s="37"/>
      <c r="G222" s="11">
        <f t="shared" ref="G222:G223" si="69">F222*E222</f>
        <v>0</v>
      </c>
    </row>
    <row r="223" spans="2:7" s="18" customFormat="1" ht="15.75" thickBot="1" x14ac:dyDescent="0.3">
      <c r="B223" s="46"/>
      <c r="C223" s="13" t="s">
        <v>12</v>
      </c>
      <c r="D223" s="9" t="s">
        <v>5</v>
      </c>
      <c r="E223" s="10">
        <v>5.4</v>
      </c>
      <c r="F223" s="37"/>
      <c r="G223" s="11">
        <f t="shared" si="69"/>
        <v>0</v>
      </c>
    </row>
    <row r="224" spans="2:7" s="18" customFormat="1" x14ac:dyDescent="0.25">
      <c r="B224" s="35" t="s">
        <v>15</v>
      </c>
      <c r="C224" s="16"/>
      <c r="D224" s="16"/>
      <c r="E224" s="16"/>
      <c r="F224" s="16"/>
      <c r="G224" s="36"/>
    </row>
    <row r="225" spans="2:7" s="18" customFormat="1" x14ac:dyDescent="0.25">
      <c r="B225" s="45"/>
      <c r="C225" s="13" t="s">
        <v>4</v>
      </c>
      <c r="D225" s="9" t="s">
        <v>5</v>
      </c>
      <c r="E225" s="10">
        <v>0</v>
      </c>
      <c r="F225" s="37"/>
      <c r="G225" s="11">
        <f t="shared" ref="G225:G226" si="70">F225*E225</f>
        <v>0</v>
      </c>
    </row>
    <row r="226" spans="2:7" s="18" customFormat="1" ht="15.75" thickBot="1" x14ac:dyDescent="0.3">
      <c r="B226" s="46"/>
      <c r="C226" s="13" t="s">
        <v>12</v>
      </c>
      <c r="D226" s="9" t="s">
        <v>5</v>
      </c>
      <c r="E226" s="10">
        <v>90</v>
      </c>
      <c r="F226" s="37"/>
      <c r="G226" s="11">
        <f t="shared" si="70"/>
        <v>0</v>
      </c>
    </row>
    <row r="227" spans="2:7" s="18" customFormat="1" x14ac:dyDescent="0.25">
      <c r="B227" s="35" t="s">
        <v>76</v>
      </c>
      <c r="C227" s="16"/>
      <c r="D227" s="16"/>
      <c r="E227" s="16"/>
      <c r="F227" s="16"/>
      <c r="G227" s="36"/>
    </row>
    <row r="228" spans="2:7" s="18" customFormat="1" x14ac:dyDescent="0.25">
      <c r="B228" s="45"/>
      <c r="C228" s="13" t="s">
        <v>4</v>
      </c>
      <c r="D228" s="9" t="s">
        <v>5</v>
      </c>
      <c r="E228" s="10">
        <v>7.9</v>
      </c>
      <c r="F228" s="37"/>
      <c r="G228" s="11">
        <f t="shared" ref="G228:G229" si="71">F228*E228</f>
        <v>0</v>
      </c>
    </row>
    <row r="229" spans="2:7" s="18" customFormat="1" ht="15.75" thickBot="1" x14ac:dyDescent="0.3">
      <c r="B229" s="46"/>
      <c r="C229" s="13" t="s">
        <v>12</v>
      </c>
      <c r="D229" s="9" t="s">
        <v>5</v>
      </c>
      <c r="E229" s="10">
        <v>21.6</v>
      </c>
      <c r="F229" s="37"/>
      <c r="G229" s="11">
        <f t="shared" si="71"/>
        <v>0</v>
      </c>
    </row>
    <row r="230" spans="2:7" s="18" customFormat="1" x14ac:dyDescent="0.25">
      <c r="B230" s="35" t="s">
        <v>48</v>
      </c>
      <c r="C230" s="16"/>
      <c r="D230" s="16"/>
      <c r="E230" s="16"/>
      <c r="F230" s="16"/>
      <c r="G230" s="36"/>
    </row>
    <row r="231" spans="2:7" s="18" customFormat="1" x14ac:dyDescent="0.25">
      <c r="B231" s="45"/>
      <c r="C231" s="13" t="s">
        <v>4</v>
      </c>
      <c r="D231" s="9" t="s">
        <v>5</v>
      </c>
      <c r="E231" s="10">
        <v>5</v>
      </c>
      <c r="F231" s="37"/>
      <c r="G231" s="11">
        <f t="shared" ref="G231:G232" si="72">F231*E231</f>
        <v>0</v>
      </c>
    </row>
    <row r="232" spans="2:7" s="18" customFormat="1" ht="15.75" thickBot="1" x14ac:dyDescent="0.3">
      <c r="B232" s="46"/>
      <c r="C232" s="13" t="s">
        <v>12</v>
      </c>
      <c r="D232" s="9" t="s">
        <v>5</v>
      </c>
      <c r="E232" s="10">
        <v>10.8</v>
      </c>
      <c r="F232" s="37"/>
      <c r="G232" s="11">
        <f t="shared" si="72"/>
        <v>0</v>
      </c>
    </row>
    <row r="233" spans="2:7" s="18" customFormat="1" x14ac:dyDescent="0.25">
      <c r="B233" s="35" t="s">
        <v>77</v>
      </c>
      <c r="C233" s="16"/>
      <c r="D233" s="16"/>
      <c r="E233" s="16"/>
      <c r="F233" s="16"/>
      <c r="G233" s="36"/>
    </row>
    <row r="234" spans="2:7" s="18" customFormat="1" x14ac:dyDescent="0.25">
      <c r="B234" s="45"/>
      <c r="C234" s="13" t="s">
        <v>4</v>
      </c>
      <c r="D234" s="9" t="s">
        <v>5</v>
      </c>
      <c r="E234" s="10">
        <v>6.95</v>
      </c>
      <c r="F234" s="37"/>
      <c r="G234" s="11">
        <f t="shared" ref="G234:G235" si="73">F234*E234</f>
        <v>0</v>
      </c>
    </row>
    <row r="235" spans="2:7" s="18" customFormat="1" ht="15.75" thickBot="1" x14ac:dyDescent="0.3">
      <c r="B235" s="46"/>
      <c r="C235" s="13" t="s">
        <v>12</v>
      </c>
      <c r="D235" s="9" t="s">
        <v>5</v>
      </c>
      <c r="E235" s="10">
        <v>10.8</v>
      </c>
      <c r="F235" s="37"/>
      <c r="G235" s="11">
        <f t="shared" si="73"/>
        <v>0</v>
      </c>
    </row>
    <row r="236" spans="2:7" s="18" customFormat="1" x14ac:dyDescent="0.25">
      <c r="B236" s="35" t="s">
        <v>60</v>
      </c>
      <c r="C236" s="16"/>
      <c r="D236" s="16"/>
      <c r="E236" s="16"/>
      <c r="F236" s="16"/>
      <c r="G236" s="36"/>
    </row>
    <row r="237" spans="2:7" s="18" customFormat="1" x14ac:dyDescent="0.25">
      <c r="B237" s="45"/>
      <c r="C237" s="13" t="s">
        <v>6</v>
      </c>
      <c r="D237" s="9" t="s">
        <v>5</v>
      </c>
      <c r="E237" s="10">
        <v>10</v>
      </c>
      <c r="F237" s="37"/>
      <c r="G237" s="11">
        <f t="shared" ref="G237:G238" si="74">F237*E237</f>
        <v>0</v>
      </c>
    </row>
    <row r="238" spans="2:7" s="18" customFormat="1" ht="15.75" thickBot="1" x14ac:dyDescent="0.3">
      <c r="B238" s="46"/>
      <c r="C238" s="25" t="s">
        <v>12</v>
      </c>
      <c r="D238" s="26" t="s">
        <v>5</v>
      </c>
      <c r="E238" s="27">
        <v>0</v>
      </c>
      <c r="F238" s="39"/>
      <c r="G238" s="28">
        <f t="shared" si="74"/>
        <v>0</v>
      </c>
    </row>
    <row r="239" spans="2:7" s="18" customFormat="1" ht="15.75" thickBot="1" x14ac:dyDescent="0.3">
      <c r="B239" s="72" t="s">
        <v>68</v>
      </c>
      <c r="C239" s="75"/>
      <c r="D239" s="75"/>
      <c r="E239" s="75"/>
      <c r="F239" s="76"/>
      <c r="G239" s="24">
        <f>SUM(G195:G238)</f>
        <v>0</v>
      </c>
    </row>
    <row r="240" spans="2:7" s="18" customFormat="1" ht="15.75" thickBot="1" x14ac:dyDescent="0.3">
      <c r="B240" s="8">
        <v>4</v>
      </c>
      <c r="C240" s="63" t="s">
        <v>78</v>
      </c>
      <c r="D240" s="64"/>
      <c r="E240" s="64"/>
      <c r="F240" s="64"/>
      <c r="G240" s="65"/>
    </row>
    <row r="241" spans="2:7" s="18" customFormat="1" x14ac:dyDescent="0.25">
      <c r="B241" s="35" t="s">
        <v>71</v>
      </c>
      <c r="C241" s="16"/>
      <c r="D241" s="16"/>
      <c r="E241" s="16"/>
      <c r="F241" s="16"/>
      <c r="G241" s="36"/>
    </row>
    <row r="242" spans="2:7" s="18" customFormat="1" x14ac:dyDescent="0.25">
      <c r="B242" s="45"/>
      <c r="C242" s="13" t="s">
        <v>4</v>
      </c>
      <c r="D242" s="9" t="s">
        <v>5</v>
      </c>
      <c r="E242" s="10">
        <v>6.55</v>
      </c>
      <c r="F242" s="37"/>
      <c r="G242" s="11">
        <f t="shared" ref="G242:G243" si="75">F242*E242</f>
        <v>0</v>
      </c>
    </row>
    <row r="243" spans="2:7" s="18" customFormat="1" ht="15.75" thickBot="1" x14ac:dyDescent="0.3">
      <c r="B243" s="46"/>
      <c r="C243" s="13" t="s">
        <v>12</v>
      </c>
      <c r="D243" s="9" t="s">
        <v>5</v>
      </c>
      <c r="E243" s="10">
        <v>0</v>
      </c>
      <c r="F243" s="37"/>
      <c r="G243" s="11">
        <f t="shared" si="75"/>
        <v>0</v>
      </c>
    </row>
    <row r="244" spans="2:7" s="18" customFormat="1" x14ac:dyDescent="0.25">
      <c r="B244" s="35" t="s">
        <v>79</v>
      </c>
      <c r="C244" s="16"/>
      <c r="D244" s="16"/>
      <c r="E244" s="16"/>
      <c r="F244" s="16"/>
      <c r="G244" s="36"/>
    </row>
    <row r="245" spans="2:7" s="18" customFormat="1" x14ac:dyDescent="0.25">
      <c r="B245" s="45"/>
      <c r="C245" s="13" t="s">
        <v>4</v>
      </c>
      <c r="D245" s="9" t="s">
        <v>5</v>
      </c>
      <c r="E245" s="10">
        <v>0</v>
      </c>
      <c r="F245" s="37"/>
      <c r="G245" s="11">
        <f t="shared" ref="G245:G246" si="76">F245*E245</f>
        <v>0</v>
      </c>
    </row>
    <row r="246" spans="2:7" s="18" customFormat="1" ht="15.75" thickBot="1" x14ac:dyDescent="0.3">
      <c r="B246" s="46"/>
      <c r="C246" s="13" t="s">
        <v>12</v>
      </c>
      <c r="D246" s="9" t="s">
        <v>5</v>
      </c>
      <c r="E246" s="10">
        <v>17.95</v>
      </c>
      <c r="F246" s="37"/>
      <c r="G246" s="11">
        <f t="shared" si="76"/>
        <v>0</v>
      </c>
    </row>
    <row r="247" spans="2:7" s="18" customFormat="1" x14ac:dyDescent="0.25">
      <c r="B247" s="35" t="s">
        <v>13</v>
      </c>
      <c r="C247" s="16"/>
      <c r="D247" s="16"/>
      <c r="E247" s="16"/>
      <c r="F247" s="16"/>
      <c r="G247" s="36"/>
    </row>
    <row r="248" spans="2:7" s="18" customFormat="1" x14ac:dyDescent="0.25">
      <c r="B248" s="45"/>
      <c r="C248" s="13" t="s">
        <v>4</v>
      </c>
      <c r="D248" s="9" t="s">
        <v>5</v>
      </c>
      <c r="E248" s="10">
        <v>0</v>
      </c>
      <c r="F248" s="37"/>
      <c r="G248" s="11">
        <f t="shared" ref="G248:G249" si="77">F248*E248</f>
        <v>0</v>
      </c>
    </row>
    <row r="249" spans="2:7" s="18" customFormat="1" ht="15.75" thickBot="1" x14ac:dyDescent="0.3">
      <c r="B249" s="46"/>
      <c r="C249" s="13" t="s">
        <v>12</v>
      </c>
      <c r="D249" s="9" t="s">
        <v>5</v>
      </c>
      <c r="E249" s="10">
        <v>2</v>
      </c>
      <c r="F249" s="37"/>
      <c r="G249" s="11">
        <f t="shared" si="77"/>
        <v>0</v>
      </c>
    </row>
    <row r="250" spans="2:7" s="18" customFormat="1" x14ac:dyDescent="0.25">
      <c r="B250" s="35" t="s">
        <v>19</v>
      </c>
      <c r="C250" s="16"/>
      <c r="D250" s="16"/>
      <c r="E250" s="16"/>
      <c r="F250" s="16"/>
      <c r="G250" s="36"/>
    </row>
    <row r="251" spans="2:7" s="18" customFormat="1" x14ac:dyDescent="0.25">
      <c r="B251" s="45"/>
      <c r="C251" s="13" t="s">
        <v>6</v>
      </c>
      <c r="D251" s="9" t="s">
        <v>5</v>
      </c>
      <c r="E251" s="10">
        <v>3.05</v>
      </c>
      <c r="F251" s="37"/>
      <c r="G251" s="11">
        <f t="shared" ref="G251:G252" si="78">F251*E251</f>
        <v>0</v>
      </c>
    </row>
    <row r="252" spans="2:7" s="18" customFormat="1" ht="15.75" thickBot="1" x14ac:dyDescent="0.3">
      <c r="B252" s="46"/>
      <c r="C252" s="13" t="s">
        <v>12</v>
      </c>
      <c r="D252" s="9" t="s">
        <v>5</v>
      </c>
      <c r="E252" s="10">
        <v>0</v>
      </c>
      <c r="F252" s="37"/>
      <c r="G252" s="11">
        <f t="shared" si="78"/>
        <v>0</v>
      </c>
    </row>
    <row r="253" spans="2:7" s="18" customFormat="1" x14ac:dyDescent="0.25">
      <c r="B253" s="35" t="s">
        <v>86</v>
      </c>
      <c r="C253" s="16"/>
      <c r="D253" s="16"/>
      <c r="E253" s="16"/>
      <c r="F253" s="16"/>
      <c r="G253" s="36"/>
    </row>
    <row r="254" spans="2:7" s="18" customFormat="1" x14ac:dyDescent="0.25">
      <c r="B254" s="45"/>
      <c r="C254" s="13" t="s">
        <v>6</v>
      </c>
      <c r="D254" s="9" t="s">
        <v>5</v>
      </c>
      <c r="E254" s="10">
        <v>3.6</v>
      </c>
      <c r="F254" s="37"/>
      <c r="G254" s="11">
        <f t="shared" ref="G254:G255" si="79">F254*E254</f>
        <v>0</v>
      </c>
    </row>
    <row r="255" spans="2:7" s="18" customFormat="1" ht="15.75" thickBot="1" x14ac:dyDescent="0.3">
      <c r="B255" s="46"/>
      <c r="C255" s="13" t="s">
        <v>12</v>
      </c>
      <c r="D255" s="9" t="s">
        <v>5</v>
      </c>
      <c r="E255" s="10">
        <v>0</v>
      </c>
      <c r="F255" s="37"/>
      <c r="G255" s="11">
        <f t="shared" si="79"/>
        <v>0</v>
      </c>
    </row>
    <row r="256" spans="2:7" s="18" customFormat="1" x14ac:dyDescent="0.25">
      <c r="B256" s="35" t="s">
        <v>43</v>
      </c>
      <c r="C256" s="16"/>
      <c r="D256" s="16"/>
      <c r="E256" s="16"/>
      <c r="F256" s="16"/>
      <c r="G256" s="36"/>
    </row>
    <row r="257" spans="2:7" s="18" customFormat="1" x14ac:dyDescent="0.25">
      <c r="B257" s="45"/>
      <c r="C257" s="13" t="s">
        <v>6</v>
      </c>
      <c r="D257" s="9" t="s">
        <v>5</v>
      </c>
      <c r="E257" s="10">
        <v>1.6</v>
      </c>
      <c r="F257" s="37"/>
      <c r="G257" s="11">
        <f t="shared" ref="G257:G258" si="80">F257*E257</f>
        <v>0</v>
      </c>
    </row>
    <row r="258" spans="2:7" s="18" customFormat="1" ht="15.75" thickBot="1" x14ac:dyDescent="0.3">
      <c r="B258" s="46"/>
      <c r="C258" s="13" t="s">
        <v>12</v>
      </c>
      <c r="D258" s="9" t="s">
        <v>5</v>
      </c>
      <c r="E258" s="10">
        <v>0</v>
      </c>
      <c r="F258" s="37"/>
      <c r="G258" s="11">
        <f t="shared" si="80"/>
        <v>0</v>
      </c>
    </row>
    <row r="259" spans="2:7" s="18" customFormat="1" x14ac:dyDescent="0.25">
      <c r="B259" s="35" t="s">
        <v>20</v>
      </c>
      <c r="C259" s="16"/>
      <c r="D259" s="16"/>
      <c r="E259" s="16"/>
      <c r="F259" s="16"/>
      <c r="G259" s="36"/>
    </row>
    <row r="260" spans="2:7" s="18" customFormat="1" x14ac:dyDescent="0.25">
      <c r="B260" s="45"/>
      <c r="C260" s="13" t="s">
        <v>4</v>
      </c>
      <c r="D260" s="9" t="s">
        <v>5</v>
      </c>
      <c r="E260" s="10">
        <v>0</v>
      </c>
      <c r="F260" s="37"/>
      <c r="G260" s="11">
        <f t="shared" ref="G260:G261" si="81">F260*E260</f>
        <v>0</v>
      </c>
    </row>
    <row r="261" spans="2:7" s="18" customFormat="1" ht="15.75" thickBot="1" x14ac:dyDescent="0.3">
      <c r="B261" s="46"/>
      <c r="C261" s="13" t="s">
        <v>12</v>
      </c>
      <c r="D261" s="9" t="s">
        <v>5</v>
      </c>
      <c r="E261" s="10">
        <v>7.8</v>
      </c>
      <c r="F261" s="37"/>
      <c r="G261" s="11">
        <f t="shared" si="81"/>
        <v>0</v>
      </c>
    </row>
    <row r="262" spans="2:7" s="18" customFormat="1" x14ac:dyDescent="0.25">
      <c r="B262" s="35" t="s">
        <v>87</v>
      </c>
      <c r="C262" s="16"/>
      <c r="D262" s="16"/>
      <c r="E262" s="16"/>
      <c r="F262" s="16"/>
      <c r="G262" s="36"/>
    </row>
    <row r="263" spans="2:7" s="18" customFormat="1" x14ac:dyDescent="0.25">
      <c r="B263" s="45"/>
      <c r="C263" s="13" t="s">
        <v>4</v>
      </c>
      <c r="D263" s="9" t="s">
        <v>5</v>
      </c>
      <c r="E263" s="10">
        <v>5.45</v>
      </c>
      <c r="F263" s="37"/>
      <c r="G263" s="11">
        <f t="shared" ref="G263:G264" si="82">F263*E263</f>
        <v>0</v>
      </c>
    </row>
    <row r="264" spans="2:7" s="18" customFormat="1" ht="15.75" thickBot="1" x14ac:dyDescent="0.3">
      <c r="B264" s="46"/>
      <c r="C264" s="13" t="s">
        <v>12</v>
      </c>
      <c r="D264" s="9" t="s">
        <v>5</v>
      </c>
      <c r="E264" s="10">
        <v>8.65</v>
      </c>
      <c r="F264" s="37"/>
      <c r="G264" s="11">
        <f t="shared" si="82"/>
        <v>0</v>
      </c>
    </row>
    <row r="265" spans="2:7" s="18" customFormat="1" x14ac:dyDescent="0.25">
      <c r="B265" s="35" t="s">
        <v>15</v>
      </c>
      <c r="C265" s="16"/>
      <c r="D265" s="16"/>
      <c r="E265" s="16"/>
      <c r="F265" s="16"/>
      <c r="G265" s="36"/>
    </row>
    <row r="266" spans="2:7" s="18" customFormat="1" x14ac:dyDescent="0.25">
      <c r="B266" s="45"/>
      <c r="C266" s="13" t="s">
        <v>4</v>
      </c>
      <c r="D266" s="9" t="s">
        <v>5</v>
      </c>
      <c r="E266" s="10">
        <v>3.1</v>
      </c>
      <c r="F266" s="37"/>
      <c r="G266" s="11">
        <f t="shared" ref="G266:G267" si="83">F266*E266</f>
        <v>0</v>
      </c>
    </row>
    <row r="267" spans="2:7" s="18" customFormat="1" ht="15.75" thickBot="1" x14ac:dyDescent="0.3">
      <c r="B267" s="46"/>
      <c r="C267" s="13" t="s">
        <v>12</v>
      </c>
      <c r="D267" s="9" t="s">
        <v>5</v>
      </c>
      <c r="E267" s="10">
        <v>0</v>
      </c>
      <c r="F267" s="37"/>
      <c r="G267" s="11">
        <f t="shared" si="83"/>
        <v>0</v>
      </c>
    </row>
    <row r="268" spans="2:7" s="18" customFormat="1" x14ac:dyDescent="0.25">
      <c r="B268" s="35" t="s">
        <v>88</v>
      </c>
      <c r="C268" s="16"/>
      <c r="D268" s="16"/>
      <c r="E268" s="16"/>
      <c r="F268" s="16"/>
      <c r="G268" s="36"/>
    </row>
    <row r="269" spans="2:7" s="18" customFormat="1" x14ac:dyDescent="0.25">
      <c r="B269" s="45"/>
      <c r="C269" s="13" t="s">
        <v>4</v>
      </c>
      <c r="D269" s="9" t="s">
        <v>5</v>
      </c>
      <c r="E269" s="10">
        <v>6.3</v>
      </c>
      <c r="F269" s="37"/>
      <c r="G269" s="11">
        <f t="shared" ref="G269:G270" si="84">F269*E269</f>
        <v>0</v>
      </c>
    </row>
    <row r="270" spans="2:7" s="18" customFormat="1" ht="15.75" thickBot="1" x14ac:dyDescent="0.3">
      <c r="B270" s="46"/>
      <c r="C270" s="13" t="s">
        <v>12</v>
      </c>
      <c r="D270" s="9" t="s">
        <v>5</v>
      </c>
      <c r="E270" s="10">
        <v>6.5</v>
      </c>
      <c r="F270" s="37"/>
      <c r="G270" s="11">
        <f t="shared" si="84"/>
        <v>0</v>
      </c>
    </row>
    <row r="271" spans="2:7" s="18" customFormat="1" x14ac:dyDescent="0.25">
      <c r="B271" s="35" t="s">
        <v>21</v>
      </c>
      <c r="C271" s="16"/>
      <c r="D271" s="16"/>
      <c r="E271" s="16"/>
      <c r="F271" s="16"/>
      <c r="G271" s="36"/>
    </row>
    <row r="272" spans="2:7" s="18" customFormat="1" x14ac:dyDescent="0.25">
      <c r="B272" s="45"/>
      <c r="C272" s="13" t="s">
        <v>4</v>
      </c>
      <c r="D272" s="9" t="s">
        <v>5</v>
      </c>
      <c r="E272" s="10">
        <v>0</v>
      </c>
      <c r="F272" s="37"/>
      <c r="G272" s="11">
        <f t="shared" ref="G272:G273" si="85">F272*E272</f>
        <v>0</v>
      </c>
    </row>
    <row r="273" spans="2:7" s="18" customFormat="1" ht="15.75" thickBot="1" x14ac:dyDescent="0.3">
      <c r="B273" s="46"/>
      <c r="C273" s="13" t="s">
        <v>12</v>
      </c>
      <c r="D273" s="9" t="s">
        <v>5</v>
      </c>
      <c r="E273" s="10">
        <v>5.35</v>
      </c>
      <c r="F273" s="37"/>
      <c r="G273" s="11">
        <f t="shared" si="85"/>
        <v>0</v>
      </c>
    </row>
    <row r="274" spans="2:7" s="18" customFormat="1" x14ac:dyDescent="0.25">
      <c r="B274" s="35" t="s">
        <v>70</v>
      </c>
      <c r="C274" s="16"/>
      <c r="D274" s="16"/>
      <c r="E274" s="16"/>
      <c r="F274" s="16"/>
      <c r="G274" s="36"/>
    </row>
    <row r="275" spans="2:7" s="18" customFormat="1" x14ac:dyDescent="0.25">
      <c r="B275" s="45"/>
      <c r="C275" s="13" t="s">
        <v>4</v>
      </c>
      <c r="D275" s="9" t="s">
        <v>5</v>
      </c>
      <c r="E275" s="10">
        <v>0</v>
      </c>
      <c r="F275" s="37"/>
      <c r="G275" s="11">
        <f t="shared" ref="G275:G276" si="86">F275*E275</f>
        <v>0</v>
      </c>
    </row>
    <row r="276" spans="2:7" s="18" customFormat="1" ht="15.75" thickBot="1" x14ac:dyDescent="0.3">
      <c r="B276" s="46"/>
      <c r="C276" s="13" t="s">
        <v>12</v>
      </c>
      <c r="D276" s="9" t="s">
        <v>5</v>
      </c>
      <c r="E276" s="10">
        <v>4.3</v>
      </c>
      <c r="F276" s="37"/>
      <c r="G276" s="11">
        <f t="shared" si="86"/>
        <v>0</v>
      </c>
    </row>
    <row r="277" spans="2:7" s="18" customFormat="1" x14ac:dyDescent="0.25">
      <c r="B277" s="35" t="s">
        <v>35</v>
      </c>
      <c r="C277" s="16"/>
      <c r="D277" s="16"/>
      <c r="E277" s="16"/>
      <c r="F277" s="16"/>
      <c r="G277" s="36"/>
    </row>
    <row r="278" spans="2:7" s="18" customFormat="1" x14ac:dyDescent="0.25">
      <c r="B278" s="45"/>
      <c r="C278" s="13" t="s">
        <v>4</v>
      </c>
      <c r="D278" s="9" t="s">
        <v>5</v>
      </c>
      <c r="E278" s="10">
        <v>0</v>
      </c>
      <c r="F278" s="37"/>
      <c r="G278" s="11">
        <f t="shared" ref="G278:G279" si="87">F278*E278</f>
        <v>0</v>
      </c>
    </row>
    <row r="279" spans="2:7" s="18" customFormat="1" ht="15.75" thickBot="1" x14ac:dyDescent="0.3">
      <c r="B279" s="46"/>
      <c r="C279" s="13" t="s">
        <v>12</v>
      </c>
      <c r="D279" s="9" t="s">
        <v>5</v>
      </c>
      <c r="E279" s="10">
        <v>17.350000000000001</v>
      </c>
      <c r="F279" s="37"/>
      <c r="G279" s="11">
        <f t="shared" si="87"/>
        <v>0</v>
      </c>
    </row>
    <row r="280" spans="2:7" s="18" customFormat="1" x14ac:dyDescent="0.25">
      <c r="B280" s="35" t="s">
        <v>80</v>
      </c>
      <c r="C280" s="16"/>
      <c r="D280" s="16"/>
      <c r="E280" s="16"/>
      <c r="F280" s="16"/>
      <c r="G280" s="36"/>
    </row>
    <row r="281" spans="2:7" s="18" customFormat="1" x14ac:dyDescent="0.25">
      <c r="B281" s="45"/>
      <c r="C281" s="13" t="s">
        <v>4</v>
      </c>
      <c r="D281" s="9" t="s">
        <v>5</v>
      </c>
      <c r="E281" s="10">
        <v>10</v>
      </c>
      <c r="F281" s="37"/>
      <c r="G281" s="11">
        <f t="shared" ref="G281:G282" si="88">F281*E281</f>
        <v>0</v>
      </c>
    </row>
    <row r="282" spans="2:7" s="18" customFormat="1" ht="15.75" thickBot="1" x14ac:dyDescent="0.3">
      <c r="B282" s="46"/>
      <c r="C282" s="13" t="s">
        <v>12</v>
      </c>
      <c r="D282" s="9" t="s">
        <v>5</v>
      </c>
      <c r="E282" s="10">
        <v>16.45</v>
      </c>
      <c r="F282" s="37"/>
      <c r="G282" s="11">
        <f t="shared" si="88"/>
        <v>0</v>
      </c>
    </row>
    <row r="283" spans="2:7" s="18" customFormat="1" x14ac:dyDescent="0.25">
      <c r="B283" s="35" t="s">
        <v>82</v>
      </c>
      <c r="C283" s="16"/>
      <c r="D283" s="16"/>
      <c r="E283" s="16"/>
      <c r="F283" s="16"/>
      <c r="G283" s="36"/>
    </row>
    <row r="284" spans="2:7" s="18" customFormat="1" x14ac:dyDescent="0.25">
      <c r="B284" s="45"/>
      <c r="C284" s="13" t="s">
        <v>6</v>
      </c>
      <c r="D284" s="9" t="s">
        <v>5</v>
      </c>
      <c r="E284" s="10">
        <v>3.05</v>
      </c>
      <c r="F284" s="37"/>
      <c r="G284" s="11">
        <f t="shared" ref="G284:G285" si="89">F284*E284</f>
        <v>0</v>
      </c>
    </row>
    <row r="285" spans="2:7" s="18" customFormat="1" ht="15.75" thickBot="1" x14ac:dyDescent="0.3">
      <c r="B285" s="46"/>
      <c r="C285" s="13" t="s">
        <v>12</v>
      </c>
      <c r="D285" s="9" t="s">
        <v>5</v>
      </c>
      <c r="E285" s="10">
        <v>0</v>
      </c>
      <c r="F285" s="37"/>
      <c r="G285" s="11">
        <f t="shared" si="89"/>
        <v>0</v>
      </c>
    </row>
    <row r="286" spans="2:7" s="18" customFormat="1" x14ac:dyDescent="0.25">
      <c r="B286" s="35" t="s">
        <v>64</v>
      </c>
      <c r="C286" s="16"/>
      <c r="D286" s="16"/>
      <c r="E286" s="16"/>
      <c r="F286" s="16"/>
      <c r="G286" s="36"/>
    </row>
    <row r="287" spans="2:7" s="18" customFormat="1" x14ac:dyDescent="0.25">
      <c r="B287" s="45"/>
      <c r="C287" s="13" t="s">
        <v>4</v>
      </c>
      <c r="D287" s="9" t="s">
        <v>5</v>
      </c>
      <c r="E287" s="10">
        <v>11.1</v>
      </c>
      <c r="F287" s="37"/>
      <c r="G287" s="11">
        <f t="shared" ref="G287:G288" si="90">F287*E287</f>
        <v>0</v>
      </c>
    </row>
    <row r="288" spans="2:7" s="18" customFormat="1" ht="15.75" thickBot="1" x14ac:dyDescent="0.3">
      <c r="B288" s="46"/>
      <c r="C288" s="13" t="s">
        <v>12</v>
      </c>
      <c r="D288" s="9" t="s">
        <v>5</v>
      </c>
      <c r="E288" s="10">
        <v>20.2</v>
      </c>
      <c r="F288" s="37"/>
      <c r="G288" s="11">
        <f t="shared" si="90"/>
        <v>0</v>
      </c>
    </row>
    <row r="289" spans="2:7" s="18" customFormat="1" x14ac:dyDescent="0.25">
      <c r="B289" s="35" t="s">
        <v>81</v>
      </c>
      <c r="C289" s="16"/>
      <c r="D289" s="16"/>
      <c r="E289" s="16"/>
      <c r="F289" s="16"/>
      <c r="G289" s="36"/>
    </row>
    <row r="290" spans="2:7" s="18" customFormat="1" x14ac:dyDescent="0.25">
      <c r="B290" s="45"/>
      <c r="C290" s="13" t="s">
        <v>6</v>
      </c>
      <c r="D290" s="9" t="s">
        <v>5</v>
      </c>
      <c r="E290" s="10">
        <v>33.65</v>
      </c>
      <c r="F290" s="37"/>
      <c r="G290" s="11">
        <f t="shared" ref="G290:G291" si="91">F290*E290</f>
        <v>0</v>
      </c>
    </row>
    <row r="291" spans="2:7" s="18" customFormat="1" ht="15.75" thickBot="1" x14ac:dyDescent="0.3">
      <c r="B291" s="46"/>
      <c r="C291" s="13" t="s">
        <v>12</v>
      </c>
      <c r="D291" s="9" t="s">
        <v>5</v>
      </c>
      <c r="E291" s="10">
        <v>30</v>
      </c>
      <c r="F291" s="37"/>
      <c r="G291" s="11">
        <f t="shared" si="91"/>
        <v>0</v>
      </c>
    </row>
    <row r="292" spans="2:7" s="18" customFormat="1" x14ac:dyDescent="0.25">
      <c r="B292" s="35" t="s">
        <v>83</v>
      </c>
      <c r="C292" s="16"/>
      <c r="D292" s="16"/>
      <c r="E292" s="16"/>
      <c r="F292" s="16"/>
      <c r="G292" s="36"/>
    </row>
    <row r="293" spans="2:7" s="18" customFormat="1" x14ac:dyDescent="0.25">
      <c r="B293" s="45"/>
      <c r="C293" s="13" t="s">
        <v>4</v>
      </c>
      <c r="D293" s="9" t="s">
        <v>5</v>
      </c>
      <c r="E293" s="10">
        <v>9.6999999999999993</v>
      </c>
      <c r="F293" s="37"/>
      <c r="G293" s="11">
        <f t="shared" ref="G293:G294" si="92">F293*E293</f>
        <v>0</v>
      </c>
    </row>
    <row r="294" spans="2:7" s="18" customFormat="1" ht="15.75" thickBot="1" x14ac:dyDescent="0.3">
      <c r="B294" s="46"/>
      <c r="C294" s="13" t="s">
        <v>12</v>
      </c>
      <c r="D294" s="9" t="s">
        <v>5</v>
      </c>
      <c r="E294" s="10">
        <v>0</v>
      </c>
      <c r="F294" s="37"/>
      <c r="G294" s="11">
        <f t="shared" si="92"/>
        <v>0</v>
      </c>
    </row>
    <row r="295" spans="2:7" s="18" customFormat="1" x14ac:dyDescent="0.25">
      <c r="B295" s="35" t="s">
        <v>84</v>
      </c>
      <c r="C295" s="16"/>
      <c r="D295" s="16"/>
      <c r="E295" s="16"/>
      <c r="F295" s="16"/>
      <c r="G295" s="36"/>
    </row>
    <row r="296" spans="2:7" s="18" customFormat="1" x14ac:dyDescent="0.25">
      <c r="B296" s="45"/>
      <c r="C296" s="13" t="s">
        <v>6</v>
      </c>
      <c r="D296" s="9" t="s">
        <v>5</v>
      </c>
      <c r="E296" s="10"/>
      <c r="F296" s="37"/>
      <c r="G296" s="11">
        <f t="shared" ref="G296:G297" si="93">F296*E296</f>
        <v>0</v>
      </c>
    </row>
    <row r="297" spans="2:7" s="18" customFormat="1" ht="15.75" thickBot="1" x14ac:dyDescent="0.3">
      <c r="B297" s="46"/>
      <c r="C297" s="13" t="s">
        <v>12</v>
      </c>
      <c r="D297" s="9" t="s">
        <v>5</v>
      </c>
      <c r="E297" s="10"/>
      <c r="F297" s="37"/>
      <c r="G297" s="11">
        <f t="shared" si="93"/>
        <v>0</v>
      </c>
    </row>
    <row r="298" spans="2:7" s="18" customFormat="1" x14ac:dyDescent="0.25">
      <c r="B298" s="35" t="s">
        <v>85</v>
      </c>
      <c r="C298" s="16"/>
      <c r="D298" s="16"/>
      <c r="E298" s="16"/>
      <c r="F298" s="16"/>
      <c r="G298" s="36"/>
    </row>
    <row r="299" spans="2:7" s="18" customFormat="1" x14ac:dyDescent="0.25">
      <c r="B299" s="45"/>
      <c r="C299" s="13" t="s">
        <v>4</v>
      </c>
      <c r="D299" s="9" t="s">
        <v>5</v>
      </c>
      <c r="E299" s="10">
        <v>10.6</v>
      </c>
      <c r="F299" s="37"/>
      <c r="G299" s="11">
        <f t="shared" ref="G299:G300" si="94">F299*E299</f>
        <v>0</v>
      </c>
    </row>
    <row r="300" spans="2:7" s="18" customFormat="1" ht="15.75" thickBot="1" x14ac:dyDescent="0.3">
      <c r="B300" s="46"/>
      <c r="C300" s="25" t="s">
        <v>12</v>
      </c>
      <c r="D300" s="26" t="s">
        <v>5</v>
      </c>
      <c r="E300" s="27">
        <v>9</v>
      </c>
      <c r="F300" s="39"/>
      <c r="G300" s="28">
        <f t="shared" si="94"/>
        <v>0</v>
      </c>
    </row>
    <row r="301" spans="2:7" s="18" customFormat="1" ht="15.75" thickBot="1" x14ac:dyDescent="0.3">
      <c r="B301" s="72" t="s">
        <v>8</v>
      </c>
      <c r="C301" s="75"/>
      <c r="D301" s="75"/>
      <c r="E301" s="75"/>
      <c r="F301" s="76"/>
      <c r="G301" s="24">
        <f>SUM(G242:G300)</f>
        <v>0</v>
      </c>
    </row>
    <row r="302" spans="2:7" s="18" customFormat="1" ht="15.75" thickBot="1" x14ac:dyDescent="0.3">
      <c r="B302" s="17"/>
      <c r="C302" s="17"/>
      <c r="D302" s="17"/>
      <c r="E302" s="17"/>
      <c r="F302" s="40"/>
      <c r="G302" s="17"/>
    </row>
    <row r="303" spans="2:7" s="18" customFormat="1" x14ac:dyDescent="0.25">
      <c r="B303" s="17"/>
      <c r="C303" s="17"/>
      <c r="D303" s="17"/>
      <c r="E303" s="66" t="s">
        <v>9</v>
      </c>
      <c r="F303" s="67"/>
      <c r="G303" s="41">
        <f>+G301+G239+G192+G115</f>
        <v>0</v>
      </c>
    </row>
    <row r="304" spans="2:7" s="18" customFormat="1" x14ac:dyDescent="0.25">
      <c r="B304" s="17"/>
      <c r="C304" s="17"/>
      <c r="D304" s="17"/>
      <c r="E304" s="68" t="s">
        <v>89</v>
      </c>
      <c r="F304" s="69"/>
      <c r="G304" s="42">
        <f>18%*G303</f>
        <v>0</v>
      </c>
    </row>
    <row r="305" spans="2:7" s="18" customFormat="1" ht="15.75" thickBot="1" x14ac:dyDescent="0.3">
      <c r="B305" s="17"/>
      <c r="C305" s="17"/>
      <c r="D305" s="17"/>
      <c r="E305" s="70" t="s">
        <v>10</v>
      </c>
      <c r="F305" s="71"/>
      <c r="G305" s="43">
        <f>SUM(G303:G304)</f>
        <v>0</v>
      </c>
    </row>
  </sheetData>
  <mergeCells count="110">
    <mergeCell ref="B301:F301"/>
    <mergeCell ref="B248:B249"/>
    <mergeCell ref="B251:B252"/>
    <mergeCell ref="B254:B255"/>
    <mergeCell ref="B257:B258"/>
    <mergeCell ref="B263:B264"/>
    <mergeCell ref="B260:B261"/>
    <mergeCell ref="B269:B270"/>
    <mergeCell ref="B293:B294"/>
    <mergeCell ref="B296:B297"/>
    <mergeCell ref="B299:B300"/>
    <mergeCell ref="B284:B285"/>
    <mergeCell ref="B287:B288"/>
    <mergeCell ref="B290:B291"/>
    <mergeCell ref="B239:F239"/>
    <mergeCell ref="C240:G240"/>
    <mergeCell ref="B242:B243"/>
    <mergeCell ref="B245:B246"/>
    <mergeCell ref="B266:B267"/>
    <mergeCell ref="B272:B273"/>
    <mergeCell ref="B275:B276"/>
    <mergeCell ref="B278:B279"/>
    <mergeCell ref="B281:B282"/>
    <mergeCell ref="E305:F305"/>
    <mergeCell ref="B192:F192"/>
    <mergeCell ref="B142:B143"/>
    <mergeCell ref="B175:B176"/>
    <mergeCell ref="B181:B182"/>
    <mergeCell ref="B184:B185"/>
    <mergeCell ref="C193:G193"/>
    <mergeCell ref="B195:B196"/>
    <mergeCell ref="B198:B199"/>
    <mergeCell ref="B201:B202"/>
    <mergeCell ref="B204:B205"/>
    <mergeCell ref="B207:B208"/>
    <mergeCell ref="B210:B211"/>
    <mergeCell ref="B213:B214"/>
    <mergeCell ref="B151:B152"/>
    <mergeCell ref="B154:B155"/>
    <mergeCell ref="B157:B158"/>
    <mergeCell ref="B160:B161"/>
    <mergeCell ref="B163:B164"/>
    <mergeCell ref="B166:B167"/>
    <mergeCell ref="B169:B170"/>
    <mergeCell ref="B172:B173"/>
    <mergeCell ref="B178:B179"/>
    <mergeCell ref="B187:B188"/>
    <mergeCell ref="B58:B59"/>
    <mergeCell ref="B115:F115"/>
    <mergeCell ref="C116:G116"/>
    <mergeCell ref="E303:F303"/>
    <mergeCell ref="E304:F304"/>
    <mergeCell ref="B216:B217"/>
    <mergeCell ref="B219:B220"/>
    <mergeCell ref="B222:B223"/>
    <mergeCell ref="B225:B226"/>
    <mergeCell ref="B228:B229"/>
    <mergeCell ref="B231:B232"/>
    <mergeCell ref="B234:B235"/>
    <mergeCell ref="B237:B238"/>
    <mergeCell ref="B90:G90"/>
    <mergeCell ref="B92:B93"/>
    <mergeCell ref="B95:B96"/>
    <mergeCell ref="B98:B99"/>
    <mergeCell ref="B82:B83"/>
    <mergeCell ref="B85:B86"/>
    <mergeCell ref="B88:B89"/>
    <mergeCell ref="B64:B65"/>
    <mergeCell ref="B67:B68"/>
    <mergeCell ref="B73:B74"/>
    <mergeCell ref="B70:B71"/>
    <mergeCell ref="B55:B56"/>
    <mergeCell ref="C3:G3"/>
    <mergeCell ref="C4:G4"/>
    <mergeCell ref="B7:G7"/>
    <mergeCell ref="C10:G10"/>
    <mergeCell ref="B13:B14"/>
    <mergeCell ref="B16:B17"/>
    <mergeCell ref="B19:B20"/>
    <mergeCell ref="B22:B23"/>
    <mergeCell ref="B25:B26"/>
    <mergeCell ref="B28:B29"/>
    <mergeCell ref="B31:B32"/>
    <mergeCell ref="B34:B35"/>
    <mergeCell ref="B37:B38"/>
    <mergeCell ref="B40:B41"/>
    <mergeCell ref="B11:G11"/>
    <mergeCell ref="B52:B53"/>
    <mergeCell ref="B49:B50"/>
    <mergeCell ref="B43:B44"/>
    <mergeCell ref="B46:B47"/>
    <mergeCell ref="B104:B105"/>
    <mergeCell ref="B107:B108"/>
    <mergeCell ref="B110:B111"/>
    <mergeCell ref="B61:B62"/>
    <mergeCell ref="B101:B102"/>
    <mergeCell ref="B76:B77"/>
    <mergeCell ref="B79:B80"/>
    <mergeCell ref="B113:B114"/>
    <mergeCell ref="B118:B119"/>
    <mergeCell ref="B190:B191"/>
    <mergeCell ref="B121:B122"/>
    <mergeCell ref="B124:B125"/>
    <mergeCell ref="B127:B128"/>
    <mergeCell ref="B130:B131"/>
    <mergeCell ref="B133:B134"/>
    <mergeCell ref="B136:B137"/>
    <mergeCell ref="B139:B140"/>
    <mergeCell ref="B145:B146"/>
    <mergeCell ref="B148:B149"/>
  </mergeCells>
  <pageMargins left="0.7" right="0.7" top="0.75" bottom="0.75" header="0.3" footer="0.3"/>
  <pageSetup paperSize="9" scale="55" orientation="portrait" verticalDpi="0" r:id="rId1"/>
  <rowBreaks count="4" manualBreakCount="4">
    <brk id="89" min="1" max="13" man="1"/>
    <brk id="115" min="1" max="13" man="1"/>
    <brk id="193" min="1" max="13" man="1"/>
    <brk id="239" min="1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FAUX-PLAFOND</vt:lpstr>
      <vt:lpstr>'FAUX-PLAFOND'!Zone_d_impression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JAWAD</cp:lastModifiedBy>
  <dcterms:created xsi:type="dcterms:W3CDTF">2021-03-17T12:54:50Z</dcterms:created>
  <dcterms:modified xsi:type="dcterms:W3CDTF">2021-05-14T11:48:40Z</dcterms:modified>
</cp:coreProperties>
</file>