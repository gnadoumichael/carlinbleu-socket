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Feuil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F82" i="1" l="1"/>
  <c r="F81" i="1"/>
  <c r="F80" i="1"/>
  <c r="G80" i="1" s="1"/>
  <c r="I80" i="1" s="1"/>
  <c r="G78" i="1"/>
  <c r="I78" i="1" s="1"/>
  <c r="F66" i="1"/>
  <c r="F65" i="1"/>
  <c r="F64" i="1"/>
  <c r="H63" i="1"/>
  <c r="F63" i="1"/>
  <c r="F61" i="1"/>
  <c r="F60" i="1"/>
  <c r="H59" i="1"/>
  <c r="F59" i="1"/>
  <c r="H58" i="1"/>
  <c r="F58" i="1"/>
  <c r="G58" i="1" s="1"/>
  <c r="H57" i="1"/>
  <c r="H62" i="1" s="1"/>
  <c r="H56" i="1"/>
  <c r="F56" i="1"/>
  <c r="G56" i="1" s="1"/>
  <c r="G57" i="1" s="1"/>
  <c r="I57" i="1" s="1"/>
  <c r="I50" i="1"/>
  <c r="I49" i="1"/>
  <c r="F46" i="1"/>
  <c r="F45" i="1"/>
  <c r="F44" i="1"/>
  <c r="F43" i="1"/>
  <c r="F42" i="1"/>
  <c r="F41" i="1"/>
  <c r="F37" i="1"/>
  <c r="G35" i="1" s="1"/>
  <c r="G38" i="1" s="1"/>
  <c r="I38" i="1" s="1"/>
  <c r="F33" i="1"/>
  <c r="G31" i="1" s="1"/>
  <c r="G34" i="1" s="1"/>
  <c r="I34" i="1" s="1"/>
  <c r="F29" i="1"/>
  <c r="F28" i="1"/>
  <c r="F26" i="1"/>
  <c r="F25" i="1"/>
  <c r="F23" i="1"/>
  <c r="F22" i="1"/>
  <c r="F20" i="1"/>
  <c r="F19" i="1"/>
  <c r="F17" i="1"/>
  <c r="F16" i="1"/>
  <c r="F15" i="1"/>
  <c r="F14" i="1"/>
  <c r="F12" i="1"/>
  <c r="F11" i="1"/>
  <c r="G22" i="1" l="1"/>
  <c r="G24" i="1" s="1"/>
  <c r="I24" i="1" s="1"/>
  <c r="G25" i="1"/>
  <c r="G27" i="1" s="1"/>
  <c r="I27" i="1" s="1"/>
  <c r="G28" i="1"/>
  <c r="G30" i="1" s="1"/>
  <c r="I30" i="1" s="1"/>
  <c r="G11" i="1"/>
  <c r="G13" i="1" s="1"/>
  <c r="I13" i="1" s="1"/>
  <c r="G14" i="1"/>
  <c r="I14" i="1" s="1"/>
  <c r="G16" i="1"/>
  <c r="G18" i="1" s="1"/>
  <c r="I18" i="1" s="1"/>
  <c r="G19" i="1"/>
  <c r="G21" i="1" s="1"/>
  <c r="I21" i="1" s="1"/>
  <c r="G41" i="1"/>
  <c r="I41" i="1" s="1"/>
  <c r="G43" i="1"/>
  <c r="I43" i="1" s="1"/>
  <c r="G45" i="1"/>
  <c r="I45" i="1" s="1"/>
  <c r="G59" i="1"/>
  <c r="G62" i="1" s="1"/>
  <c r="G63" i="1"/>
  <c r="G67" i="1" s="1"/>
  <c r="I31" i="1"/>
  <c r="H67" i="1"/>
  <c r="I67" i="1" s="1"/>
  <c r="I62" i="1"/>
  <c r="I56" i="1"/>
  <c r="I59" i="1"/>
  <c r="I83" i="1"/>
  <c r="I22" i="1"/>
  <c r="I35" i="1"/>
  <c r="I16" i="1" l="1"/>
  <c r="I28" i="1"/>
  <c r="I19" i="1"/>
  <c r="I25" i="1"/>
  <c r="I11" i="1"/>
  <c r="I47" i="1"/>
  <c r="I63" i="1"/>
  <c r="I68" i="1" s="1"/>
  <c r="I85" i="1" s="1"/>
  <c r="I92" i="1" s="1"/>
  <c r="I39" i="1" l="1"/>
  <c r="I52" i="1" s="1"/>
  <c r="I91" i="1" s="1"/>
  <c r="I93" i="1" s="1"/>
  <c r="I94" i="1" s="1"/>
  <c r="I95" i="1" s="1"/>
</calcChain>
</file>

<file path=xl/sharedStrings.xml><?xml version="1.0" encoding="utf-8"?>
<sst xmlns="http://schemas.openxmlformats.org/spreadsheetml/2006/main" count="144" uniqueCount="69">
  <si>
    <t>BATIMENT RESIDENTIEL</t>
  </si>
  <si>
    <t>LOT A/ CLOISONS DE DISTRIBUTION/DOUBLAGES</t>
  </si>
  <si>
    <t>LOCALISATION</t>
  </si>
  <si>
    <t>Surface (m²)</t>
  </si>
  <si>
    <t>Total Surface(m²)</t>
  </si>
  <si>
    <t>P.U HT</t>
  </si>
  <si>
    <t>TOTAL HT</t>
  </si>
  <si>
    <t>A.1</t>
  </si>
  <si>
    <t xml:space="preserve">CLOISON DOUBLE OSSATURE R48/M48 AVEC PLAQUES STANDARD BA13 DOUBLE PAREMENT PAR FACE </t>
  </si>
  <si>
    <t>Niveau 4 à Niveau 9</t>
  </si>
  <si>
    <t>Niveau 10 &amp; 11</t>
  </si>
  <si>
    <t>Isolation Laine de verre</t>
  </si>
  <si>
    <t>Niveau 4 à Niveau 11</t>
  </si>
  <si>
    <t>A.1'</t>
  </si>
  <si>
    <t>Collage plaques sur poteau béton</t>
  </si>
  <si>
    <t>A.2</t>
  </si>
  <si>
    <t>CLOISON SIMPLE OSSATURE R48/M48 AVEC PLAQUES COUPE FEU BA13 DOUBLE PAREMENT PAR FACE</t>
  </si>
  <si>
    <t>A.3</t>
  </si>
  <si>
    <t xml:space="preserve">DEMI CLOISON SIMPLE OSSATURE R48/M48 AVEC PLAQUES STANDARD BA13 DOUBLE PAREMENT SUR UNE FACE </t>
  </si>
  <si>
    <t>A.4</t>
  </si>
  <si>
    <t xml:space="preserve">CLOISON SIMPLE OSSATURE R48/M48 AVEC STANDARD BA13 DOUBLE PAREMENT PAR FACE </t>
  </si>
  <si>
    <t>A.5</t>
  </si>
  <si>
    <t xml:space="preserve">CLOISON SIMPLE OSSATURE R48/M48 AVEC HYDROFUGE BA13 DOUBLE PAREMENT PAR FACE </t>
  </si>
  <si>
    <t>A.6</t>
  </si>
  <si>
    <t xml:space="preserve">CLOISON SIMPLE OSSATURE R48/M48 AVEC STANDARD BA13 DOUBLE PAREMENT SUR 1 FACE, HYDRO BA13 DOUBLE PAREMENT SUR LA 2NDE FACE </t>
  </si>
  <si>
    <t>A.7</t>
  </si>
  <si>
    <t xml:space="preserve">DOUBLAGE SIMPLE OSSATURE R48/M48 AVEC HYDRO BA13 </t>
  </si>
  <si>
    <t>Niveau 1 niveau 3</t>
  </si>
  <si>
    <t>A.8</t>
  </si>
  <si>
    <t xml:space="preserve">DOUBLAGE SIMPLE OSSATURE R48/M48 AVEC standard BA13 </t>
  </si>
  <si>
    <t>SOUS-TOTAL HT LOT A - CLOISONS DE DISTRIBUTION - BATIMENT RESIDENTIEL</t>
  </si>
  <si>
    <t>LOT B/ FAUX-PLAFONDS</t>
  </si>
  <si>
    <t>B.1</t>
  </si>
  <si>
    <t>FAUX-PLAFOND PLAT EN PLAQUES DE PLÂTRE BA13 STANDARD</t>
  </si>
  <si>
    <t>Niveau 1 à Niveau 9</t>
  </si>
  <si>
    <t>B.2</t>
  </si>
  <si>
    <t>FAUX-PLAFOND AVEC RETOMBEE PERIPHERIQUES EN PLAQUES DE PLÂTRE BA13 STANDARD</t>
  </si>
  <si>
    <t>B.3</t>
  </si>
  <si>
    <t>FAUX-PLAFOND PLAT EN PLAQUES DE PLÂTRE HYDRO BA13</t>
  </si>
  <si>
    <t>SOUS-TOTAL HT LOT B - FAUX-PLAFOND - BATIMENT RESIDENTIEL</t>
  </si>
  <si>
    <t>LOT C/ TRAPPES DE VISITE</t>
  </si>
  <si>
    <t>TOTAL</t>
  </si>
  <si>
    <t>C</t>
  </si>
  <si>
    <t>TRAPPE DE VISITE CF 60*60</t>
  </si>
  <si>
    <t>NIVEAU 1 - NIVEAU 11</t>
  </si>
  <si>
    <t>SOUS-TOTAL HT LOT C- TRAPPES DE VISITE - BATIMENT RESIDENTIEL</t>
  </si>
  <si>
    <t>SOUS-TOTAL HT BATIMENT RESIDENTIEL</t>
  </si>
  <si>
    <t>BATIMENT BUREAUX</t>
  </si>
  <si>
    <t>LOT A'/ CLOISONS DE DISTRIBUTION/DOUBLAGES</t>
  </si>
  <si>
    <t>A'.6</t>
  </si>
  <si>
    <t>Niveau 1</t>
  </si>
  <si>
    <t>A'.1'</t>
  </si>
  <si>
    <t>A'.5</t>
  </si>
  <si>
    <t>Niveau 2 - 9</t>
  </si>
  <si>
    <t>Niveau 10 - 11</t>
  </si>
  <si>
    <t>Niveau 1 à 11</t>
  </si>
  <si>
    <t>A'.7</t>
  </si>
  <si>
    <t>Niveau 12</t>
  </si>
  <si>
    <t>Niveau 1 à Niveau 12</t>
  </si>
  <si>
    <t>SOUS-TOTAL HT LOT A' - CLOISONS DE DISTRIBUTION - BATIMENT BUREAU</t>
  </si>
  <si>
    <t>LOT B'/ FAUX-PLAFONDS</t>
  </si>
  <si>
    <t xml:space="preserve">PALIER </t>
  </si>
  <si>
    <t xml:space="preserve">Niveau 1 </t>
  </si>
  <si>
    <t>SOUS-TOTAL HT LOT B' - Faux-plafonds - BATIMENT BUREAU</t>
  </si>
  <si>
    <t>SOUS-TOTAL HT BATIMENT BUREAUX</t>
  </si>
  <si>
    <t>RECAPITULATIF OFFRE DE PRIX</t>
  </si>
  <si>
    <t>TOTAL HT BATIMENT RESIDENTIEL ET BUREAUX</t>
  </si>
  <si>
    <t>TVA 9%</t>
  </si>
  <si>
    <t>TOTAL TTC BATIMENT RESIDENTIEL ET BUREAUX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</si>
</sst>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4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164" fontId="2" fillId="4" borderId="5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/>
    <xf numFmtId="164" fontId="0" fillId="0" borderId="5" xfId="1" applyNumberFormat="1" applyFont="1" applyBorder="1" applyAlignment="1">
      <alignment vertical="center"/>
    </xf>
    <xf numFmtId="164" fontId="6" fillId="0" borderId="5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0" fillId="0" borderId="5" xfId="0" applyNumberFormat="1" applyBorder="1"/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5" fillId="0" borderId="0" xfId="0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1" fillId="0" borderId="5" xfId="1" applyFont="1" applyBorder="1" applyAlignment="1">
      <alignment vertical="center"/>
    </xf>
    <xf numFmtId="164" fontId="1" fillId="0" borderId="5" xfId="1" applyNumberFormat="1" applyFont="1" applyBorder="1" applyAlignment="1">
      <alignment vertical="center"/>
    </xf>
    <xf numFmtId="17" fontId="2" fillId="2" borderId="0" xfId="0" applyNumberFormat="1" applyFont="1" applyFill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6" xfId="1" applyNumberFormat="1" applyFont="1" applyFill="1" applyBorder="1" applyAlignment="1">
      <alignment horizontal="center" vertical="center"/>
    </xf>
    <xf numFmtId="164" fontId="0" fillId="0" borderId="10" xfId="1" applyNumberFormat="1" applyFont="1" applyFill="1" applyBorder="1" applyAlignment="1">
      <alignment horizontal="center" vertical="center"/>
    </xf>
    <xf numFmtId="164" fontId="0" fillId="0" borderId="13" xfId="1" applyNumberFormat="1" applyFont="1" applyFill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748283</xdr:colOff>
      <xdr:row>6</xdr:row>
      <xdr:rowOff>85724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006082" cy="1228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ssier%20Chiffrage%20Palm%20TOW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écap Travaux à réaliser"/>
      <sheetName val="Récap Surface pour Paie MO"/>
      <sheetName val="OffRe Globale INTERNE"/>
      <sheetName val="Présentation Offre Finale D.INV"/>
      <sheetName val="PRESENTATION FINALE OFFRE PRIX"/>
      <sheetName val="Descriptif Détaillé des Tvx"/>
      <sheetName val="Feuil1"/>
      <sheetName val="Synthese état financier"/>
      <sheetName val="Récap Quantité totale matériel"/>
      <sheetName val="A.1 N3-N9"/>
      <sheetName val="A.1' N3-N9"/>
      <sheetName val="A.2 N3-N9"/>
      <sheetName val="A.3 N3-N9"/>
      <sheetName val="A.4 N3-N9"/>
      <sheetName val="A.5 N3-N9"/>
      <sheetName val="A.6 N3-N6"/>
      <sheetName val="A7 N3-N9"/>
      <sheetName val="A.8 N3-N9"/>
      <sheetName val="B1"/>
      <sheetName val="B2"/>
      <sheetName val="B3"/>
      <sheetName val="Estimatif Besoin Matériels Bure"/>
    </sheetNames>
    <sheetDataSet>
      <sheetData sheetId="0">
        <row r="11">
          <cell r="T11">
            <v>375.03120000000001</v>
          </cell>
        </row>
        <row r="15">
          <cell r="T15">
            <v>500.28719999999998</v>
          </cell>
        </row>
        <row r="19">
          <cell r="T19">
            <v>299.87760000000003</v>
          </cell>
        </row>
        <row r="21">
          <cell r="T21">
            <v>131.5188</v>
          </cell>
        </row>
        <row r="22">
          <cell r="T22">
            <v>313.69259999999997</v>
          </cell>
        </row>
        <row r="27">
          <cell r="T27">
            <v>216.61919999999998</v>
          </cell>
        </row>
        <row r="30">
          <cell r="T30">
            <v>966.31319999999982</v>
          </cell>
        </row>
        <row r="46">
          <cell r="T46">
            <v>108.24819999999998</v>
          </cell>
        </row>
        <row r="52">
          <cell r="T52">
            <v>83.012799999999999</v>
          </cell>
        </row>
        <row r="60">
          <cell r="T60">
            <v>86.635400000000004</v>
          </cell>
        </row>
        <row r="63">
          <cell r="T63">
            <v>58.575599999999994</v>
          </cell>
        </row>
        <row r="65">
          <cell r="T65">
            <v>118.80899999999997</v>
          </cell>
        </row>
        <row r="74">
          <cell r="T74">
            <v>88.722999999999999</v>
          </cell>
        </row>
        <row r="81">
          <cell r="T81">
            <v>370.73319999999995</v>
          </cell>
        </row>
        <row r="93">
          <cell r="T93">
            <v>136.73779999999999</v>
          </cell>
        </row>
        <row r="103">
          <cell r="T103">
            <v>176.40219999999999</v>
          </cell>
        </row>
        <row r="108">
          <cell r="P108">
            <v>2255.7599999999998</v>
          </cell>
        </row>
        <row r="115">
          <cell r="P115">
            <v>959.76</v>
          </cell>
        </row>
        <row r="116">
          <cell r="P116">
            <v>1050.1199999999999</v>
          </cell>
        </row>
        <row r="124">
          <cell r="P124">
            <v>468.76000000000005</v>
          </cell>
        </row>
        <row r="136">
          <cell r="P136">
            <v>244.24</v>
          </cell>
        </row>
        <row r="138">
          <cell r="P138">
            <v>234.28</v>
          </cell>
        </row>
        <row r="157">
          <cell r="J157">
            <v>48.475299999999997</v>
          </cell>
        </row>
        <row r="158">
          <cell r="J158">
            <v>3.8374999999999999</v>
          </cell>
        </row>
        <row r="159">
          <cell r="J159">
            <v>114.29610000000001</v>
          </cell>
        </row>
        <row r="162">
          <cell r="J162">
            <v>68.614500000000007</v>
          </cell>
        </row>
        <row r="166">
          <cell r="J166">
            <v>453.62319999999994</v>
          </cell>
        </row>
        <row r="169">
          <cell r="J169">
            <v>342.12079999999997</v>
          </cell>
        </row>
        <row r="173">
          <cell r="J173">
            <v>113.40579999999999</v>
          </cell>
        </row>
        <row r="176">
          <cell r="J176">
            <v>76.013199999999998</v>
          </cell>
        </row>
        <row r="180">
          <cell r="J180">
            <v>13.323799999999999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topLeftCell="A19" workbookViewId="0">
      <selection activeCell="B19" sqref="B19:D20"/>
    </sheetView>
  </sheetViews>
  <sheetFormatPr baseColWidth="10" defaultColWidth="9.140625" defaultRowHeight="15" x14ac:dyDescent="0.25"/>
  <cols>
    <col min="5" max="5" width="14.85546875" customWidth="1"/>
    <col min="9" max="9" width="16.5703125" bestFit="1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35">
        <v>43739</v>
      </c>
      <c r="B8" s="1"/>
      <c r="C8" s="1"/>
      <c r="D8" s="1"/>
      <c r="E8" s="1"/>
      <c r="F8" s="1"/>
      <c r="G8" s="1"/>
      <c r="H8" s="1"/>
      <c r="I8" s="1"/>
    </row>
    <row r="9" spans="1:9" ht="18.75" x14ac:dyDescent="0.3">
      <c r="A9" s="62" t="s">
        <v>0</v>
      </c>
      <c r="B9" s="62"/>
      <c r="C9" s="62"/>
      <c r="D9" s="62"/>
      <c r="E9" s="62"/>
      <c r="F9" s="62"/>
      <c r="G9" s="62"/>
      <c r="H9" s="62"/>
      <c r="I9" s="62"/>
    </row>
    <row r="10" spans="1:9" ht="45" x14ac:dyDescent="0.25">
      <c r="A10" s="63" t="s">
        <v>1</v>
      </c>
      <c r="B10" s="64"/>
      <c r="C10" s="64"/>
      <c r="D10" s="65"/>
      <c r="E10" s="2" t="s">
        <v>2</v>
      </c>
      <c r="F10" s="4" t="s">
        <v>3</v>
      </c>
      <c r="G10" s="4" t="s">
        <v>4</v>
      </c>
      <c r="H10" s="5" t="s">
        <v>5</v>
      </c>
      <c r="I10" s="5" t="s">
        <v>6</v>
      </c>
    </row>
    <row r="11" spans="1:9" x14ac:dyDescent="0.25">
      <c r="A11" s="51" t="s">
        <v>7</v>
      </c>
      <c r="B11" s="66" t="s">
        <v>8</v>
      </c>
      <c r="C11" s="67"/>
      <c r="D11" s="75"/>
      <c r="E11" s="6" t="s">
        <v>9</v>
      </c>
      <c r="F11" s="7">
        <f>'[1]Récap Travaux à réaliser'!$T$11</f>
        <v>375.03120000000001</v>
      </c>
      <c r="G11" s="46">
        <f>+F11+F12</f>
        <v>483.27940000000001</v>
      </c>
      <c r="H11" s="70">
        <v>21500</v>
      </c>
      <c r="I11" s="70">
        <f>+H11*G11</f>
        <v>10390507.1</v>
      </c>
    </row>
    <row r="12" spans="1:9" ht="47.25" customHeight="1" x14ac:dyDescent="0.25">
      <c r="A12" s="56"/>
      <c r="B12" s="68"/>
      <c r="C12" s="69"/>
      <c r="D12" s="79"/>
      <c r="E12" s="6" t="s">
        <v>10</v>
      </c>
      <c r="F12" s="7">
        <f>'[1]Récap Travaux à réaliser'!$T$46</f>
        <v>108.24819999999998</v>
      </c>
      <c r="G12" s="46"/>
      <c r="H12" s="71"/>
      <c r="I12" s="71"/>
    </row>
    <row r="13" spans="1:9" x14ac:dyDescent="0.25">
      <c r="A13" s="52"/>
      <c r="B13" s="53" t="s">
        <v>11</v>
      </c>
      <c r="C13" s="54"/>
      <c r="D13" s="54"/>
      <c r="E13" s="85" t="s">
        <v>12</v>
      </c>
      <c r="F13" s="86"/>
      <c r="G13" s="8">
        <f>+G11*2</f>
        <v>966.55880000000002</v>
      </c>
      <c r="H13" s="8">
        <v>3200</v>
      </c>
      <c r="I13" s="8">
        <f>+H13*G13</f>
        <v>3092988.16</v>
      </c>
    </row>
    <row r="14" spans="1:9" x14ac:dyDescent="0.25">
      <c r="A14" s="51" t="s">
        <v>13</v>
      </c>
      <c r="B14" s="66" t="s">
        <v>14</v>
      </c>
      <c r="C14" s="67"/>
      <c r="D14" s="67"/>
      <c r="E14" s="6" t="s">
        <v>9</v>
      </c>
      <c r="F14" s="7">
        <f>'[1]Récap Travaux à réaliser'!$T$15</f>
        <v>500.28719999999998</v>
      </c>
      <c r="G14" s="46">
        <f>+F14+F15</f>
        <v>583.29999999999995</v>
      </c>
      <c r="H14" s="70">
        <v>6000</v>
      </c>
      <c r="I14" s="70">
        <f>+H14*G14</f>
        <v>3499799.9999999995</v>
      </c>
    </row>
    <row r="15" spans="1:9" x14ac:dyDescent="0.25">
      <c r="A15" s="56"/>
      <c r="B15" s="68"/>
      <c r="C15" s="69"/>
      <c r="D15" s="69"/>
      <c r="E15" s="6" t="s">
        <v>10</v>
      </c>
      <c r="F15" s="7">
        <f>'[1]Récap Travaux à réaliser'!$T$52</f>
        <v>83.012799999999999</v>
      </c>
      <c r="G15" s="46"/>
      <c r="H15" s="71"/>
      <c r="I15" s="71"/>
    </row>
    <row r="16" spans="1:9" x14ac:dyDescent="0.25">
      <c r="A16" s="51" t="s">
        <v>15</v>
      </c>
      <c r="B16" s="66" t="s">
        <v>16</v>
      </c>
      <c r="C16" s="67"/>
      <c r="D16" s="75"/>
      <c r="E16" s="6" t="s">
        <v>9</v>
      </c>
      <c r="F16" s="7">
        <f>'[1]Récap Travaux à réaliser'!$T$19</f>
        <v>299.87760000000003</v>
      </c>
      <c r="G16" s="46">
        <f>+F16+F17</f>
        <v>386.51300000000003</v>
      </c>
      <c r="H16" s="70">
        <v>22000</v>
      </c>
      <c r="I16" s="70">
        <f>+H16*G16</f>
        <v>8503286</v>
      </c>
    </row>
    <row r="17" spans="1:9" ht="55.5" customHeight="1" x14ac:dyDescent="0.25">
      <c r="A17" s="56"/>
      <c r="B17" s="68"/>
      <c r="C17" s="69"/>
      <c r="D17" s="79"/>
      <c r="E17" s="6" t="s">
        <v>10</v>
      </c>
      <c r="F17" s="7">
        <f>'[1]Récap Travaux à réaliser'!$T$60</f>
        <v>86.635400000000004</v>
      </c>
      <c r="G17" s="46"/>
      <c r="H17" s="71"/>
      <c r="I17" s="71"/>
    </row>
    <row r="18" spans="1:9" x14ac:dyDescent="0.25">
      <c r="A18" s="52"/>
      <c r="B18" s="53" t="s">
        <v>11</v>
      </c>
      <c r="C18" s="54"/>
      <c r="D18" s="54"/>
      <c r="E18" s="85" t="s">
        <v>12</v>
      </c>
      <c r="F18" s="86"/>
      <c r="G18" s="8">
        <f>+G16</f>
        <v>386.51300000000003</v>
      </c>
      <c r="H18" s="8">
        <v>3200</v>
      </c>
      <c r="I18" s="8">
        <f>+H18*G18</f>
        <v>1236841.6000000001</v>
      </c>
    </row>
    <row r="19" spans="1:9" x14ac:dyDescent="0.25">
      <c r="A19" s="51" t="s">
        <v>17</v>
      </c>
      <c r="B19" s="66" t="s">
        <v>18</v>
      </c>
      <c r="C19" s="67"/>
      <c r="D19" s="67"/>
      <c r="E19" s="6" t="s">
        <v>9</v>
      </c>
      <c r="F19" s="7">
        <f>'[1]Récap Travaux à réaliser'!$T$21</f>
        <v>131.5188</v>
      </c>
      <c r="G19" s="46">
        <f>+F19+F20</f>
        <v>190.09440000000001</v>
      </c>
      <c r="H19" s="70">
        <v>12000</v>
      </c>
      <c r="I19" s="70">
        <f>+H19*G19</f>
        <v>2281132.8000000003</v>
      </c>
    </row>
    <row r="20" spans="1:9" ht="54.75" customHeight="1" x14ac:dyDescent="0.25">
      <c r="A20" s="56"/>
      <c r="B20" s="68"/>
      <c r="C20" s="69"/>
      <c r="D20" s="69"/>
      <c r="E20" s="6" t="s">
        <v>10</v>
      </c>
      <c r="F20" s="7">
        <f>'[1]Récap Travaux à réaliser'!$T$63</f>
        <v>58.575599999999994</v>
      </c>
      <c r="G20" s="46"/>
      <c r="H20" s="71"/>
      <c r="I20" s="71"/>
    </row>
    <row r="21" spans="1:9" x14ac:dyDescent="0.25">
      <c r="A21" s="52"/>
      <c r="B21" s="53" t="s">
        <v>11</v>
      </c>
      <c r="C21" s="54"/>
      <c r="D21" s="54"/>
      <c r="E21" s="85" t="s">
        <v>12</v>
      </c>
      <c r="F21" s="86"/>
      <c r="G21" s="8">
        <f>+G19</f>
        <v>190.09440000000001</v>
      </c>
      <c r="H21" s="8">
        <v>3200</v>
      </c>
      <c r="I21" s="8">
        <f>+H21*G21</f>
        <v>608302.08000000007</v>
      </c>
    </row>
    <row r="22" spans="1:9" x14ac:dyDescent="0.25">
      <c r="A22" s="51" t="s">
        <v>19</v>
      </c>
      <c r="B22" s="66" t="s">
        <v>20</v>
      </c>
      <c r="C22" s="67"/>
      <c r="D22" s="75"/>
      <c r="E22" s="6" t="s">
        <v>9</v>
      </c>
      <c r="F22" s="7">
        <f>'[1]Récap Travaux à réaliser'!$T$22</f>
        <v>313.69259999999997</v>
      </c>
      <c r="G22" s="46">
        <f>+F22+F23</f>
        <v>432.50159999999994</v>
      </c>
      <c r="H22" s="80">
        <v>15000</v>
      </c>
      <c r="I22" s="70">
        <f>+H22*G22</f>
        <v>6487523.9999999991</v>
      </c>
    </row>
    <row r="23" spans="1:9" ht="84.75" customHeight="1" x14ac:dyDescent="0.25">
      <c r="A23" s="56"/>
      <c r="B23" s="68"/>
      <c r="C23" s="69"/>
      <c r="D23" s="79"/>
      <c r="E23" s="6" t="s">
        <v>10</v>
      </c>
      <c r="F23" s="7">
        <f>'[1]Récap Travaux à réaliser'!$T$65</f>
        <v>118.80899999999997</v>
      </c>
      <c r="G23" s="46"/>
      <c r="H23" s="82"/>
      <c r="I23" s="71"/>
    </row>
    <row r="24" spans="1:9" x14ac:dyDescent="0.25">
      <c r="A24" s="52"/>
      <c r="B24" s="53" t="s">
        <v>11</v>
      </c>
      <c r="C24" s="54"/>
      <c r="D24" s="54"/>
      <c r="E24" s="85" t="s">
        <v>12</v>
      </c>
      <c r="F24" s="86"/>
      <c r="G24" s="8">
        <f>+G22</f>
        <v>432.50159999999994</v>
      </c>
      <c r="H24" s="8">
        <v>3200</v>
      </c>
      <c r="I24" s="8">
        <f>+H24*G24</f>
        <v>1384005.1199999999</v>
      </c>
    </row>
    <row r="25" spans="1:9" x14ac:dyDescent="0.25">
      <c r="A25" s="51" t="s">
        <v>21</v>
      </c>
      <c r="B25" s="66" t="s">
        <v>22</v>
      </c>
      <c r="C25" s="67"/>
      <c r="D25" s="75"/>
      <c r="E25" s="6" t="s">
        <v>9</v>
      </c>
      <c r="F25" s="7">
        <f>'[1]Récap Travaux à réaliser'!$T$27</f>
        <v>216.61919999999998</v>
      </c>
      <c r="G25" s="46">
        <f>+F25+F26</f>
        <v>305.34219999999999</v>
      </c>
      <c r="H25" s="80">
        <v>17500</v>
      </c>
      <c r="I25" s="70">
        <f>+H25*G25</f>
        <v>5343488.5</v>
      </c>
    </row>
    <row r="26" spans="1:9" ht="52.5" customHeight="1" x14ac:dyDescent="0.25">
      <c r="A26" s="56"/>
      <c r="B26" s="68"/>
      <c r="C26" s="69"/>
      <c r="D26" s="79"/>
      <c r="E26" s="6" t="s">
        <v>10</v>
      </c>
      <c r="F26" s="7">
        <f>'[1]Récap Travaux à réaliser'!$T$74</f>
        <v>88.722999999999999</v>
      </c>
      <c r="G26" s="46"/>
      <c r="H26" s="82"/>
      <c r="I26" s="71"/>
    </row>
    <row r="27" spans="1:9" x14ac:dyDescent="0.25">
      <c r="A27" s="52"/>
      <c r="B27" s="53" t="s">
        <v>11</v>
      </c>
      <c r="C27" s="54"/>
      <c r="D27" s="54"/>
      <c r="E27" s="85" t="s">
        <v>12</v>
      </c>
      <c r="F27" s="86"/>
      <c r="G27" s="8">
        <f>+G25</f>
        <v>305.34219999999999</v>
      </c>
      <c r="H27" s="8">
        <v>3200</v>
      </c>
      <c r="I27" s="8">
        <f>+H27*G27</f>
        <v>977095.03999999992</v>
      </c>
    </row>
    <row r="28" spans="1:9" x14ac:dyDescent="0.25">
      <c r="A28" s="51" t="s">
        <v>23</v>
      </c>
      <c r="B28" s="66" t="s">
        <v>24</v>
      </c>
      <c r="C28" s="67"/>
      <c r="D28" s="75"/>
      <c r="E28" s="6" t="s">
        <v>9</v>
      </c>
      <c r="F28" s="7">
        <f>'[1]Récap Travaux à réaliser'!$T$30</f>
        <v>966.31319999999982</v>
      </c>
      <c r="G28" s="46">
        <f>+F28+F29</f>
        <v>1337.0463999999997</v>
      </c>
      <c r="H28" s="80">
        <v>17000</v>
      </c>
      <c r="I28" s="70">
        <f>+H28*G28</f>
        <v>22729788.799999997</v>
      </c>
    </row>
    <row r="29" spans="1:9" ht="63.75" customHeight="1" x14ac:dyDescent="0.25">
      <c r="A29" s="56"/>
      <c r="B29" s="68"/>
      <c r="C29" s="69"/>
      <c r="D29" s="79"/>
      <c r="E29" s="6" t="s">
        <v>10</v>
      </c>
      <c r="F29" s="7">
        <f>'[1]Récap Travaux à réaliser'!$T$81</f>
        <v>370.73319999999995</v>
      </c>
      <c r="G29" s="46"/>
      <c r="H29" s="82"/>
      <c r="I29" s="71"/>
    </row>
    <row r="30" spans="1:9" x14ac:dyDescent="0.25">
      <c r="A30" s="52"/>
      <c r="B30" s="53" t="s">
        <v>11</v>
      </c>
      <c r="C30" s="54"/>
      <c r="D30" s="54"/>
      <c r="E30" s="85" t="s">
        <v>12</v>
      </c>
      <c r="F30" s="86"/>
      <c r="G30" s="8">
        <f>+G28</f>
        <v>1337.0463999999997</v>
      </c>
      <c r="H30" s="8">
        <v>3200</v>
      </c>
      <c r="I30" s="8">
        <f>+H30*G30</f>
        <v>4278548.4799999995</v>
      </c>
    </row>
    <row r="31" spans="1:9" x14ac:dyDescent="0.25">
      <c r="A31" s="72" t="s">
        <v>25</v>
      </c>
      <c r="B31" s="66" t="s">
        <v>26</v>
      </c>
      <c r="C31" s="67"/>
      <c r="D31" s="67"/>
      <c r="E31" s="6" t="s">
        <v>9</v>
      </c>
      <c r="F31" s="7">
        <v>443.92</v>
      </c>
      <c r="G31" s="46">
        <f>SUM(F31:F33)</f>
        <v>802.25779999999997</v>
      </c>
      <c r="H31" s="80">
        <v>13000</v>
      </c>
      <c r="I31" s="70">
        <f>+H31*G31</f>
        <v>10429351.4</v>
      </c>
    </row>
    <row r="32" spans="1:9" x14ac:dyDescent="0.25">
      <c r="A32" s="73"/>
      <c r="B32" s="76"/>
      <c r="C32" s="77"/>
      <c r="D32" s="77"/>
      <c r="E32" s="6" t="s">
        <v>27</v>
      </c>
      <c r="F32" s="7">
        <v>221.6</v>
      </c>
      <c r="G32" s="46"/>
      <c r="H32" s="81"/>
      <c r="I32" s="83"/>
    </row>
    <row r="33" spans="1:9" x14ac:dyDescent="0.25">
      <c r="A33" s="73"/>
      <c r="B33" s="68"/>
      <c r="C33" s="69"/>
      <c r="D33" s="69"/>
      <c r="E33" s="6" t="s">
        <v>10</v>
      </c>
      <c r="F33" s="7">
        <f>'[1]Récap Travaux à réaliser'!$T$93</f>
        <v>136.73779999999999</v>
      </c>
      <c r="G33" s="46"/>
      <c r="H33" s="82"/>
      <c r="I33" s="71"/>
    </row>
    <row r="34" spans="1:9" x14ac:dyDescent="0.25">
      <c r="A34" s="74"/>
      <c r="B34" s="53" t="s">
        <v>11</v>
      </c>
      <c r="C34" s="54"/>
      <c r="D34" s="54"/>
      <c r="E34" s="85" t="s">
        <v>12</v>
      </c>
      <c r="F34" s="86"/>
      <c r="G34" s="8">
        <f>+G31</f>
        <v>802.25779999999997</v>
      </c>
      <c r="H34" s="9">
        <v>3200</v>
      </c>
      <c r="I34" s="8">
        <f>+H34*G34</f>
        <v>2567224.96</v>
      </c>
    </row>
    <row r="35" spans="1:9" x14ac:dyDescent="0.25">
      <c r="A35" s="72" t="s">
        <v>28</v>
      </c>
      <c r="B35" s="66" t="s">
        <v>29</v>
      </c>
      <c r="C35" s="67"/>
      <c r="D35" s="75"/>
      <c r="E35" s="6" t="s">
        <v>9</v>
      </c>
      <c r="F35" s="7">
        <v>532</v>
      </c>
      <c r="G35" s="46">
        <f>SUM(F35:F37)</f>
        <v>974.40219999999999</v>
      </c>
      <c r="H35" s="80">
        <v>11000</v>
      </c>
      <c r="I35" s="70">
        <f>+H35*G35</f>
        <v>10718424.199999999</v>
      </c>
    </row>
    <row r="36" spans="1:9" x14ac:dyDescent="0.25">
      <c r="A36" s="73"/>
      <c r="B36" s="76"/>
      <c r="C36" s="77"/>
      <c r="D36" s="78"/>
      <c r="E36" s="6" t="s">
        <v>27</v>
      </c>
      <c r="F36" s="7">
        <v>266</v>
      </c>
      <c r="G36" s="46"/>
      <c r="H36" s="81"/>
      <c r="I36" s="83"/>
    </row>
    <row r="37" spans="1:9" x14ac:dyDescent="0.25">
      <c r="A37" s="73"/>
      <c r="B37" s="68"/>
      <c r="C37" s="69"/>
      <c r="D37" s="79"/>
      <c r="E37" s="6" t="s">
        <v>10</v>
      </c>
      <c r="F37" s="7">
        <f>'[1]Récap Travaux à réaliser'!$T$103</f>
        <v>176.40219999999999</v>
      </c>
      <c r="G37" s="46"/>
      <c r="H37" s="82"/>
      <c r="I37" s="71"/>
    </row>
    <row r="38" spans="1:9" x14ac:dyDescent="0.25">
      <c r="A38" s="74"/>
      <c r="B38" s="53" t="s">
        <v>11</v>
      </c>
      <c r="C38" s="54"/>
      <c r="D38" s="54"/>
      <c r="E38" s="84" t="s">
        <v>12</v>
      </c>
      <c r="F38" s="84"/>
      <c r="G38" s="8">
        <f>+G35</f>
        <v>974.40219999999999</v>
      </c>
      <c r="H38" s="8">
        <v>3200</v>
      </c>
      <c r="I38" s="8">
        <f>+H38*G38</f>
        <v>3118087.04</v>
      </c>
    </row>
    <row r="39" spans="1:9" x14ac:dyDescent="0.25">
      <c r="A39" s="42" t="s">
        <v>30</v>
      </c>
      <c r="B39" s="43"/>
      <c r="C39" s="43"/>
      <c r="D39" s="43"/>
      <c r="E39" s="43"/>
      <c r="F39" s="43"/>
      <c r="G39" s="43"/>
      <c r="H39" s="44"/>
      <c r="I39" s="10">
        <f>SUM(I11:I38)</f>
        <v>97646395.280000001</v>
      </c>
    </row>
    <row r="40" spans="1:9" ht="45" x14ac:dyDescent="0.25">
      <c r="A40" s="57" t="s">
        <v>31</v>
      </c>
      <c r="B40" s="58"/>
      <c r="C40" s="58"/>
      <c r="D40" s="58"/>
      <c r="E40" s="11" t="s">
        <v>2</v>
      </c>
      <c r="F40" s="12" t="s">
        <v>3</v>
      </c>
      <c r="G40" s="13" t="s">
        <v>4</v>
      </c>
      <c r="H40" s="5" t="s">
        <v>5</v>
      </c>
      <c r="I40" s="5" t="s">
        <v>6</v>
      </c>
    </row>
    <row r="41" spans="1:9" x14ac:dyDescent="0.25">
      <c r="A41" s="36" t="s">
        <v>32</v>
      </c>
      <c r="B41" s="66" t="s">
        <v>33</v>
      </c>
      <c r="C41" s="67"/>
      <c r="D41" s="67"/>
      <c r="E41" s="14" t="s">
        <v>34</v>
      </c>
      <c r="F41" s="15">
        <f>'[1]Récap Travaux à réaliser'!$P$108</f>
        <v>2255.7599999999998</v>
      </c>
      <c r="G41" s="46">
        <f>+F41+F42</f>
        <v>2724.52</v>
      </c>
      <c r="H41" s="70">
        <v>10500</v>
      </c>
      <c r="I41" s="70">
        <f>+H41*G41</f>
        <v>28607460</v>
      </c>
    </row>
    <row r="42" spans="1:9" ht="33" customHeight="1" x14ac:dyDescent="0.25">
      <c r="A42" s="36"/>
      <c r="B42" s="68"/>
      <c r="C42" s="69"/>
      <c r="D42" s="69"/>
      <c r="E42" s="14" t="s">
        <v>10</v>
      </c>
      <c r="F42" s="15">
        <f>'[1]Récap Travaux à réaliser'!$P$124</f>
        <v>468.76000000000005</v>
      </c>
      <c r="G42" s="46"/>
      <c r="H42" s="71"/>
      <c r="I42" s="71"/>
    </row>
    <row r="43" spans="1:9" x14ac:dyDescent="0.25">
      <c r="A43" s="36" t="s">
        <v>35</v>
      </c>
      <c r="B43" s="66" t="s">
        <v>36</v>
      </c>
      <c r="C43" s="67"/>
      <c r="D43" s="67"/>
      <c r="E43" s="14" t="s">
        <v>34</v>
      </c>
      <c r="F43" s="15">
        <f>'[1]Récap Travaux à réaliser'!$P$115</f>
        <v>959.76</v>
      </c>
      <c r="G43" s="46">
        <f>+F43+F44</f>
        <v>1204</v>
      </c>
      <c r="H43" s="70">
        <v>11500</v>
      </c>
      <c r="I43" s="70">
        <f>+H43*G43</f>
        <v>13846000</v>
      </c>
    </row>
    <row r="44" spans="1:9" ht="41.25" customHeight="1" x14ac:dyDescent="0.25">
      <c r="A44" s="36"/>
      <c r="B44" s="68"/>
      <c r="C44" s="69"/>
      <c r="D44" s="69"/>
      <c r="E44" s="14" t="s">
        <v>10</v>
      </c>
      <c r="F44" s="15">
        <f>'[1]Récap Travaux à réaliser'!$P$136</f>
        <v>244.24</v>
      </c>
      <c r="G44" s="46"/>
      <c r="H44" s="71"/>
      <c r="I44" s="71"/>
    </row>
    <row r="45" spans="1:9" x14ac:dyDescent="0.25">
      <c r="A45" s="36" t="s">
        <v>37</v>
      </c>
      <c r="B45" s="66" t="s">
        <v>38</v>
      </c>
      <c r="C45" s="67"/>
      <c r="D45" s="67"/>
      <c r="E45" s="14" t="s">
        <v>34</v>
      </c>
      <c r="F45" s="15">
        <f>'[1]Récap Travaux à réaliser'!$P$116</f>
        <v>1050.1199999999999</v>
      </c>
      <c r="G45" s="46">
        <f>+F45+F46</f>
        <v>1284.3999999999999</v>
      </c>
      <c r="H45" s="70">
        <v>11000</v>
      </c>
      <c r="I45" s="70">
        <f>+H45*G45</f>
        <v>14128399.999999998</v>
      </c>
    </row>
    <row r="46" spans="1:9" x14ac:dyDescent="0.25">
      <c r="A46" s="36"/>
      <c r="B46" s="68"/>
      <c r="C46" s="69"/>
      <c r="D46" s="69"/>
      <c r="E46" s="14" t="s">
        <v>10</v>
      </c>
      <c r="F46" s="15">
        <f>'[1]Récap Travaux à réaliser'!$P$138</f>
        <v>234.28</v>
      </c>
      <c r="G46" s="46"/>
      <c r="H46" s="71"/>
      <c r="I46" s="71"/>
    </row>
    <row r="47" spans="1:9" x14ac:dyDescent="0.25">
      <c r="A47" s="42" t="s">
        <v>39</v>
      </c>
      <c r="B47" s="43"/>
      <c r="C47" s="43"/>
      <c r="D47" s="43"/>
      <c r="E47" s="43"/>
      <c r="F47" s="43"/>
      <c r="G47" s="43"/>
      <c r="H47" s="44"/>
      <c r="I47" s="10">
        <f>SUM(I41:I46)</f>
        <v>56581860</v>
      </c>
    </row>
    <row r="48" spans="1:9" x14ac:dyDescent="0.25">
      <c r="A48" s="57" t="s">
        <v>40</v>
      </c>
      <c r="B48" s="58"/>
      <c r="C48" s="58"/>
      <c r="D48" s="58"/>
      <c r="E48" s="2" t="s">
        <v>2</v>
      </c>
      <c r="F48" s="16" t="s">
        <v>41</v>
      </c>
      <c r="G48" s="17"/>
      <c r="H48" s="5" t="s">
        <v>5</v>
      </c>
      <c r="I48" s="5" t="s">
        <v>6</v>
      </c>
    </row>
    <row r="49" spans="1:9" ht="22.5" x14ac:dyDescent="0.25">
      <c r="A49" s="18" t="s">
        <v>42</v>
      </c>
      <c r="B49" s="59" t="s">
        <v>43</v>
      </c>
      <c r="C49" s="60"/>
      <c r="D49" s="61"/>
      <c r="E49" s="14" t="s">
        <v>44</v>
      </c>
      <c r="F49" s="19">
        <v>88</v>
      </c>
      <c r="G49" s="20"/>
      <c r="H49" s="21">
        <v>40000</v>
      </c>
      <c r="I49" s="21">
        <f>+H49*F49</f>
        <v>3520000</v>
      </c>
    </row>
    <row r="50" spans="1:9" x14ac:dyDescent="0.25">
      <c r="A50" s="42" t="s">
        <v>45</v>
      </c>
      <c r="B50" s="43"/>
      <c r="C50" s="43"/>
      <c r="D50" s="43"/>
      <c r="E50" s="43"/>
      <c r="F50" s="43"/>
      <c r="G50" s="43"/>
      <c r="H50" s="44"/>
      <c r="I50" s="10">
        <f>+I49</f>
        <v>3520000</v>
      </c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.75" x14ac:dyDescent="0.25">
      <c r="A52" s="39" t="s">
        <v>46</v>
      </c>
      <c r="B52" s="40"/>
      <c r="C52" s="40"/>
      <c r="D52" s="40"/>
      <c r="E52" s="40"/>
      <c r="F52" s="40"/>
      <c r="G52" s="40"/>
      <c r="H52" s="41"/>
      <c r="I52" s="22">
        <f>+I50+I47+I39</f>
        <v>157748255.28</v>
      </c>
    </row>
    <row r="53" spans="1:9" x14ac:dyDescent="0.25">
      <c r="A53" s="23"/>
      <c r="B53" s="23"/>
      <c r="C53" s="23"/>
      <c r="D53" s="23"/>
      <c r="E53" s="23"/>
      <c r="F53" s="23"/>
      <c r="G53" s="23"/>
      <c r="H53" s="23"/>
      <c r="I53" s="24"/>
    </row>
    <row r="54" spans="1:9" ht="18.75" x14ac:dyDescent="0.3">
      <c r="A54" s="62" t="s">
        <v>47</v>
      </c>
      <c r="B54" s="62"/>
      <c r="C54" s="62"/>
      <c r="D54" s="62"/>
      <c r="E54" s="62"/>
      <c r="F54" s="62"/>
      <c r="G54" s="62"/>
      <c r="H54" s="62"/>
      <c r="I54" s="62"/>
    </row>
    <row r="55" spans="1:9" ht="45" x14ac:dyDescent="0.25">
      <c r="A55" s="63" t="s">
        <v>48</v>
      </c>
      <c r="B55" s="64"/>
      <c r="C55" s="64"/>
      <c r="D55" s="65"/>
      <c r="E55" s="2" t="s">
        <v>2</v>
      </c>
      <c r="F55" s="3" t="s">
        <v>3</v>
      </c>
      <c r="G55" s="4" t="s">
        <v>4</v>
      </c>
      <c r="H55" s="5" t="s">
        <v>5</v>
      </c>
      <c r="I55" s="5" t="s">
        <v>6</v>
      </c>
    </row>
    <row r="56" spans="1:9" x14ac:dyDescent="0.25">
      <c r="A56" s="51" t="s">
        <v>49</v>
      </c>
      <c r="B56" s="53" t="s">
        <v>24</v>
      </c>
      <c r="C56" s="54"/>
      <c r="D56" s="55"/>
      <c r="E56" s="25" t="s">
        <v>50</v>
      </c>
      <c r="F56" s="18">
        <f>'[1]Récap Travaux à réaliser'!$J$157</f>
        <v>48.475299999999997</v>
      </c>
      <c r="G56" s="18">
        <f>+F56</f>
        <v>48.475299999999997</v>
      </c>
      <c r="H56" s="8">
        <f>$H$28</f>
        <v>17000</v>
      </c>
      <c r="I56" s="8">
        <f>+H56*G56</f>
        <v>824080.1</v>
      </c>
    </row>
    <row r="57" spans="1:9" x14ac:dyDescent="0.25">
      <c r="A57" s="52"/>
      <c r="B57" s="53" t="s">
        <v>11</v>
      </c>
      <c r="C57" s="54"/>
      <c r="D57" s="54"/>
      <c r="E57" s="53" t="s">
        <v>50</v>
      </c>
      <c r="F57" s="55"/>
      <c r="G57" s="18">
        <f>+G56</f>
        <v>48.475299999999997</v>
      </c>
      <c r="H57" s="26">
        <f>+H38</f>
        <v>3200</v>
      </c>
      <c r="I57" s="21">
        <f>+H57*G57</f>
        <v>155120.95999999999</v>
      </c>
    </row>
    <row r="58" spans="1:9" x14ac:dyDescent="0.25">
      <c r="A58" s="27" t="s">
        <v>51</v>
      </c>
      <c r="B58" s="53" t="s">
        <v>14</v>
      </c>
      <c r="C58" s="54"/>
      <c r="D58" s="54"/>
      <c r="E58" s="25" t="s">
        <v>50</v>
      </c>
      <c r="F58" s="28">
        <f>'[1]Récap Travaux à réaliser'!$J$158</f>
        <v>3.8374999999999999</v>
      </c>
      <c r="G58" s="18">
        <f>+F58</f>
        <v>3.8374999999999999</v>
      </c>
      <c r="H58" s="26">
        <f>$H$14</f>
        <v>6000</v>
      </c>
      <c r="I58" s="21"/>
    </row>
    <row r="59" spans="1:9" x14ac:dyDescent="0.25">
      <c r="A59" s="51" t="s">
        <v>52</v>
      </c>
      <c r="B59" s="37" t="s">
        <v>22</v>
      </c>
      <c r="C59" s="37"/>
      <c r="D59" s="37"/>
      <c r="E59" s="25" t="s">
        <v>50</v>
      </c>
      <c r="F59" s="28">
        <f>'[1]Récap Travaux à réaliser'!$J$159</f>
        <v>114.29610000000001</v>
      </c>
      <c r="G59" s="51">
        <f>SUM(F59:F61)</f>
        <v>681.32509999999991</v>
      </c>
      <c r="H59" s="38">
        <f t="shared" ref="H59" si="0">$H$25</f>
        <v>17500</v>
      </c>
      <c r="I59" s="46">
        <f>+H59*G59</f>
        <v>11923189.249999998</v>
      </c>
    </row>
    <row r="60" spans="1:9" x14ac:dyDescent="0.25">
      <c r="A60" s="56"/>
      <c r="B60" s="37"/>
      <c r="C60" s="37"/>
      <c r="D60" s="37"/>
      <c r="E60" s="25" t="s">
        <v>53</v>
      </c>
      <c r="F60" s="28">
        <f>'[1]Récap Travaux à réaliser'!$J$166</f>
        <v>453.62319999999994</v>
      </c>
      <c r="G60" s="56"/>
      <c r="H60" s="36"/>
      <c r="I60" s="46"/>
    </row>
    <row r="61" spans="1:9" x14ac:dyDescent="0.25">
      <c r="A61" s="56"/>
      <c r="B61" s="37"/>
      <c r="C61" s="37"/>
      <c r="D61" s="37"/>
      <c r="E61" s="25" t="s">
        <v>54</v>
      </c>
      <c r="F61" s="29">
        <f>'[1]Récap Travaux à réaliser'!$J$173</f>
        <v>113.40579999999999</v>
      </c>
      <c r="G61" s="52"/>
      <c r="H61" s="36"/>
      <c r="I61" s="46"/>
    </row>
    <row r="62" spans="1:9" x14ac:dyDescent="0.25">
      <c r="A62" s="52"/>
      <c r="B62" s="37" t="s">
        <v>11</v>
      </c>
      <c r="C62" s="37"/>
      <c r="D62" s="37"/>
      <c r="E62" s="53" t="s">
        <v>55</v>
      </c>
      <c r="F62" s="55"/>
      <c r="G62" s="18">
        <f>+G59</f>
        <v>681.32509999999991</v>
      </c>
      <c r="H62" s="26">
        <f>+H57</f>
        <v>3200</v>
      </c>
      <c r="I62" s="21">
        <f>+H62*G62</f>
        <v>2180240.3199999998</v>
      </c>
    </row>
    <row r="63" spans="1:9" x14ac:dyDescent="0.25">
      <c r="A63" s="48" t="s">
        <v>56</v>
      </c>
      <c r="B63" s="37" t="s">
        <v>26</v>
      </c>
      <c r="C63" s="37"/>
      <c r="D63" s="37"/>
      <c r="E63" s="25" t="s">
        <v>50</v>
      </c>
      <c r="F63" s="28">
        <f>'[1]Récap Travaux à réaliser'!$J$162</f>
        <v>68.614500000000007</v>
      </c>
      <c r="G63" s="36">
        <f>SUM(F63:F66)</f>
        <v>500.07229999999998</v>
      </c>
      <c r="H63" s="38">
        <f t="shared" ref="H63" si="1">$H$31</f>
        <v>13000</v>
      </c>
      <c r="I63" s="46">
        <f>+H63*G63</f>
        <v>6500939.8999999994</v>
      </c>
    </row>
    <row r="64" spans="1:9" x14ac:dyDescent="0.25">
      <c r="A64" s="48"/>
      <c r="B64" s="37"/>
      <c r="C64" s="37"/>
      <c r="D64" s="37"/>
      <c r="E64" s="25" t="s">
        <v>53</v>
      </c>
      <c r="F64" s="28">
        <f>'[1]Récap Travaux à réaliser'!$J$169</f>
        <v>342.12079999999997</v>
      </c>
      <c r="G64" s="36"/>
      <c r="H64" s="36"/>
      <c r="I64" s="46"/>
    </row>
    <row r="65" spans="1:9" x14ac:dyDescent="0.25">
      <c r="A65" s="48"/>
      <c r="B65" s="37"/>
      <c r="C65" s="37"/>
      <c r="D65" s="37"/>
      <c r="E65" s="25" t="s">
        <v>54</v>
      </c>
      <c r="F65" s="28">
        <f>'[1]Récap Travaux à réaliser'!$J$176</f>
        <v>76.013199999999998</v>
      </c>
      <c r="G65" s="36"/>
      <c r="H65" s="36"/>
      <c r="I65" s="46"/>
    </row>
    <row r="66" spans="1:9" x14ac:dyDescent="0.25">
      <c r="A66" s="48"/>
      <c r="B66" s="37"/>
      <c r="C66" s="37"/>
      <c r="D66" s="37"/>
      <c r="E66" s="25" t="s">
        <v>57</v>
      </c>
      <c r="F66" s="28">
        <f>'[1]Récap Travaux à réaliser'!$J$180</f>
        <v>13.323799999999999</v>
      </c>
      <c r="G66" s="36"/>
      <c r="H66" s="36"/>
      <c r="I66" s="46"/>
    </row>
    <row r="67" spans="1:9" x14ac:dyDescent="0.25">
      <c r="A67" s="48"/>
      <c r="B67" s="37" t="s">
        <v>11</v>
      </c>
      <c r="C67" s="37"/>
      <c r="D67" s="37"/>
      <c r="E67" s="37" t="s">
        <v>58</v>
      </c>
      <c r="F67" s="37"/>
      <c r="G67" s="18">
        <f>+G63</f>
        <v>500.07229999999998</v>
      </c>
      <c r="H67" s="26">
        <f>+H62</f>
        <v>3200</v>
      </c>
      <c r="I67" s="21">
        <f>+H67*G67</f>
        <v>1600231.3599999999</v>
      </c>
    </row>
    <row r="68" spans="1:9" x14ac:dyDescent="0.25">
      <c r="A68" s="49" t="s">
        <v>59</v>
      </c>
      <c r="B68" s="49"/>
      <c r="C68" s="49"/>
      <c r="D68" s="49"/>
      <c r="E68" s="49"/>
      <c r="F68" s="49"/>
      <c r="G68" s="49"/>
      <c r="H68" s="49"/>
      <c r="I68" s="10">
        <f>SUM(I56:I67)</f>
        <v>23183801.889999997</v>
      </c>
    </row>
    <row r="69" spans="1:9" x14ac:dyDescent="0.25">
      <c r="A69" s="30"/>
      <c r="B69" s="30"/>
      <c r="C69" s="30"/>
      <c r="D69" s="30"/>
      <c r="E69" s="30"/>
      <c r="F69" s="30"/>
      <c r="G69" s="30"/>
      <c r="H69" s="30"/>
      <c r="I69" s="31"/>
    </row>
    <row r="70" spans="1:9" x14ac:dyDescent="0.25">
      <c r="A70" s="30"/>
      <c r="B70" s="30"/>
      <c r="C70" s="30"/>
      <c r="D70" s="30"/>
      <c r="E70" s="30"/>
      <c r="F70" s="30"/>
      <c r="G70" s="30"/>
      <c r="H70" s="30"/>
      <c r="I70" s="31"/>
    </row>
    <row r="71" spans="1:9" x14ac:dyDescent="0.25">
      <c r="A71" s="30"/>
      <c r="B71" s="30"/>
      <c r="C71" s="30"/>
      <c r="D71" s="30"/>
      <c r="E71" s="30"/>
      <c r="F71" s="30"/>
      <c r="G71" s="30"/>
      <c r="H71" s="30"/>
      <c r="I71" s="31"/>
    </row>
    <row r="72" spans="1:9" x14ac:dyDescent="0.25">
      <c r="A72" s="30"/>
      <c r="B72" s="30"/>
      <c r="C72" s="30"/>
      <c r="D72" s="30"/>
      <c r="E72" s="30"/>
      <c r="F72" s="30"/>
      <c r="G72" s="30"/>
      <c r="H72" s="30"/>
      <c r="I72" s="31"/>
    </row>
    <row r="73" spans="1:9" x14ac:dyDescent="0.25">
      <c r="A73" s="30"/>
      <c r="B73" s="30"/>
      <c r="C73" s="30"/>
      <c r="D73" s="30"/>
      <c r="E73" s="30"/>
      <c r="F73" s="30"/>
      <c r="G73" s="30"/>
      <c r="H73" s="30"/>
      <c r="I73" s="31"/>
    </row>
    <row r="74" spans="1:9" x14ac:dyDescent="0.25">
      <c r="A74" s="30"/>
      <c r="B74" s="30"/>
      <c r="C74" s="30"/>
      <c r="D74" s="30"/>
      <c r="E74" s="30"/>
      <c r="F74" s="30"/>
      <c r="G74" s="30"/>
      <c r="H74" s="30"/>
      <c r="I74" s="31"/>
    </row>
    <row r="75" spans="1:9" x14ac:dyDescent="0.25">
      <c r="A75" s="30"/>
      <c r="B75" s="30"/>
      <c r="C75" s="30"/>
      <c r="D75" s="30"/>
      <c r="E75" s="30"/>
      <c r="F75" s="30"/>
      <c r="G75" s="30"/>
      <c r="H75" s="30"/>
      <c r="I75" s="31"/>
    </row>
    <row r="76" spans="1:9" x14ac:dyDescent="0.25">
      <c r="A76" s="30"/>
      <c r="B76" s="30"/>
      <c r="C76" s="30"/>
      <c r="D76" s="30"/>
      <c r="E76" s="30"/>
      <c r="F76" s="30"/>
      <c r="G76" s="30"/>
      <c r="H76" s="30"/>
      <c r="I76" s="31"/>
    </row>
    <row r="77" spans="1:9" ht="45" x14ac:dyDescent="0.25">
      <c r="A77" s="50" t="s">
        <v>60</v>
      </c>
      <c r="B77" s="50"/>
      <c r="C77" s="50"/>
      <c r="D77" s="50"/>
      <c r="E77" s="2" t="s">
        <v>2</v>
      </c>
      <c r="F77" s="3" t="s">
        <v>3</v>
      </c>
      <c r="G77" s="4" t="s">
        <v>4</v>
      </c>
      <c r="H77" s="5" t="s">
        <v>5</v>
      </c>
      <c r="I77" s="5" t="s">
        <v>6</v>
      </c>
    </row>
    <row r="78" spans="1:9" x14ac:dyDescent="0.25">
      <c r="A78" s="36" t="s">
        <v>32</v>
      </c>
      <c r="B78" s="37" t="s">
        <v>33</v>
      </c>
      <c r="C78" s="37"/>
      <c r="D78" s="37"/>
      <c r="E78" s="36" t="s">
        <v>61</v>
      </c>
      <c r="F78" s="36">
        <v>13.44</v>
      </c>
      <c r="G78" s="36">
        <f>+F78*11</f>
        <v>147.84</v>
      </c>
      <c r="H78" s="38">
        <v>10500</v>
      </c>
      <c r="I78" s="46">
        <f>+H78*G78</f>
        <v>1552320</v>
      </c>
    </row>
    <row r="79" spans="1:9" x14ac:dyDescent="0.25">
      <c r="A79" s="36"/>
      <c r="B79" s="37"/>
      <c r="C79" s="37"/>
      <c r="D79" s="37"/>
      <c r="E79" s="36"/>
      <c r="F79" s="36"/>
      <c r="G79" s="36"/>
      <c r="H79" s="36"/>
      <c r="I79" s="46"/>
    </row>
    <row r="80" spans="1:9" x14ac:dyDescent="0.25">
      <c r="A80" s="36" t="s">
        <v>37</v>
      </c>
      <c r="B80" s="37" t="s">
        <v>38</v>
      </c>
      <c r="C80" s="37"/>
      <c r="D80" s="37"/>
      <c r="E80" s="14" t="s">
        <v>62</v>
      </c>
      <c r="F80" s="32">
        <f>25.78+21.83+14.97+9.53+11.93+3.88</f>
        <v>87.919999999999987</v>
      </c>
      <c r="G80" s="47">
        <f>SUM(F80:F82)</f>
        <v>491.02</v>
      </c>
      <c r="H80" s="38">
        <v>11000</v>
      </c>
      <c r="I80" s="38">
        <f>+H80*G80</f>
        <v>5401220</v>
      </c>
    </row>
    <row r="81" spans="1:9" x14ac:dyDescent="0.25">
      <c r="A81" s="36"/>
      <c r="B81" s="37"/>
      <c r="C81" s="37"/>
      <c r="D81" s="37"/>
      <c r="E81" s="14" t="s">
        <v>53</v>
      </c>
      <c r="F81" s="33">
        <f>+(14.97+9.53+11.93+3.88)*8</f>
        <v>322.48</v>
      </c>
      <c r="G81" s="47"/>
      <c r="H81" s="36"/>
      <c r="I81" s="38"/>
    </row>
    <row r="82" spans="1:9" x14ac:dyDescent="0.25">
      <c r="A82" s="36"/>
      <c r="B82" s="37"/>
      <c r="C82" s="37"/>
      <c r="D82" s="37"/>
      <c r="E82" s="14" t="s">
        <v>10</v>
      </c>
      <c r="F82" s="34">
        <f>+(14.97+9.53+11.93+3.88)*2</f>
        <v>80.62</v>
      </c>
      <c r="G82" s="47"/>
      <c r="H82" s="36"/>
      <c r="I82" s="38"/>
    </row>
    <row r="83" spans="1:9" x14ac:dyDescent="0.25">
      <c r="A83" s="42" t="s">
        <v>63</v>
      </c>
      <c r="B83" s="43"/>
      <c r="C83" s="43"/>
      <c r="D83" s="43"/>
      <c r="E83" s="43"/>
      <c r="F83" s="43"/>
      <c r="G83" s="43"/>
      <c r="H83" s="44"/>
      <c r="I83" s="10">
        <f>+I80+I78</f>
        <v>6953540</v>
      </c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.75" x14ac:dyDescent="0.25">
      <c r="A85" s="39" t="s">
        <v>64</v>
      </c>
      <c r="B85" s="40"/>
      <c r="C85" s="40"/>
      <c r="D85" s="40"/>
      <c r="E85" s="40"/>
      <c r="F85" s="40"/>
      <c r="G85" s="40"/>
      <c r="H85" s="41"/>
      <c r="I85" s="22">
        <f>+I83+I68</f>
        <v>30137341.889999997</v>
      </c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45" t="s">
        <v>65</v>
      </c>
      <c r="B88" s="45"/>
      <c r="C88" s="45"/>
      <c r="D88" s="45"/>
      <c r="E88" s="45"/>
      <c r="F88" s="45"/>
      <c r="G88" s="45"/>
      <c r="H88" s="45"/>
      <c r="I88" s="45"/>
    </row>
    <row r="89" spans="1:9" x14ac:dyDescent="0.25">
      <c r="A89" s="45"/>
      <c r="B89" s="45"/>
      <c r="C89" s="45"/>
      <c r="D89" s="45"/>
      <c r="E89" s="45"/>
      <c r="F89" s="45"/>
      <c r="G89" s="45"/>
      <c r="H89" s="45"/>
      <c r="I89" s="45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.75" x14ac:dyDescent="0.25">
      <c r="A91" s="39" t="s">
        <v>46</v>
      </c>
      <c r="B91" s="40"/>
      <c r="C91" s="40"/>
      <c r="D91" s="40"/>
      <c r="E91" s="40"/>
      <c r="F91" s="40"/>
      <c r="G91" s="40"/>
      <c r="H91" s="41"/>
      <c r="I91" s="22">
        <f>+I52</f>
        <v>157748255.28</v>
      </c>
    </row>
    <row r="92" spans="1:9" ht="15.75" x14ac:dyDescent="0.25">
      <c r="A92" s="39" t="s">
        <v>64</v>
      </c>
      <c r="B92" s="40"/>
      <c r="C92" s="40"/>
      <c r="D92" s="40"/>
      <c r="E92" s="40"/>
      <c r="F92" s="40"/>
      <c r="G92" s="40"/>
      <c r="H92" s="41"/>
      <c r="I92" s="22">
        <f>+I85</f>
        <v>30137341.889999997</v>
      </c>
    </row>
    <row r="93" spans="1:9" ht="15.75" x14ac:dyDescent="0.25">
      <c r="A93" s="39" t="s">
        <v>66</v>
      </c>
      <c r="B93" s="40"/>
      <c r="C93" s="40"/>
      <c r="D93" s="40"/>
      <c r="E93" s="40"/>
      <c r="F93" s="40"/>
      <c r="G93" s="40"/>
      <c r="H93" s="41"/>
      <c r="I93" s="22">
        <f>+I92+I91</f>
        <v>187885597.16999999</v>
      </c>
    </row>
    <row r="94" spans="1:9" ht="15.75" x14ac:dyDescent="0.25">
      <c r="A94" s="39" t="s">
        <v>67</v>
      </c>
      <c r="B94" s="40"/>
      <c r="C94" s="40"/>
      <c r="D94" s="40"/>
      <c r="E94" s="40"/>
      <c r="F94" s="40"/>
      <c r="G94" s="40"/>
      <c r="H94" s="41"/>
      <c r="I94" s="22">
        <f>+I93*9%</f>
        <v>16909703.745299999</v>
      </c>
    </row>
    <row r="95" spans="1:9" ht="15.75" x14ac:dyDescent="0.25">
      <c r="A95" s="39" t="s">
        <v>68</v>
      </c>
      <c r="B95" s="40"/>
      <c r="C95" s="40"/>
      <c r="D95" s="40"/>
      <c r="E95" s="40"/>
      <c r="F95" s="40"/>
      <c r="G95" s="40"/>
      <c r="H95" s="41"/>
      <c r="I95" s="22">
        <f>+I94+I93</f>
        <v>204795300.91529998</v>
      </c>
    </row>
  </sheetData>
  <mergeCells count="128">
    <mergeCell ref="A9:I9"/>
    <mergeCell ref="A10:D10"/>
    <mergeCell ref="A11:A13"/>
    <mergeCell ref="B11:D12"/>
    <mergeCell ref="G11:G12"/>
    <mergeCell ref="H11:H12"/>
    <mergeCell ref="I11:I12"/>
    <mergeCell ref="B13:D13"/>
    <mergeCell ref="E13:F13"/>
    <mergeCell ref="A19:A21"/>
    <mergeCell ref="B19:D20"/>
    <mergeCell ref="G19:G20"/>
    <mergeCell ref="H19:H20"/>
    <mergeCell ref="A14:A15"/>
    <mergeCell ref="B14:D15"/>
    <mergeCell ref="G14:G15"/>
    <mergeCell ref="H14:H15"/>
    <mergeCell ref="I19:I20"/>
    <mergeCell ref="B21:D21"/>
    <mergeCell ref="E21:F21"/>
    <mergeCell ref="I14:I15"/>
    <mergeCell ref="A16:A18"/>
    <mergeCell ref="B16:D17"/>
    <mergeCell ref="G16:G17"/>
    <mergeCell ref="H16:H17"/>
    <mergeCell ref="I16:I17"/>
    <mergeCell ref="B18:D18"/>
    <mergeCell ref="E18:F18"/>
    <mergeCell ref="A22:A24"/>
    <mergeCell ref="B22:D23"/>
    <mergeCell ref="G22:G23"/>
    <mergeCell ref="H22:H23"/>
    <mergeCell ref="I22:I23"/>
    <mergeCell ref="B24:D24"/>
    <mergeCell ref="E24:F24"/>
    <mergeCell ref="A28:A30"/>
    <mergeCell ref="B28:D29"/>
    <mergeCell ref="G28:G29"/>
    <mergeCell ref="H28:H29"/>
    <mergeCell ref="I28:I29"/>
    <mergeCell ref="B30:D30"/>
    <mergeCell ref="E30:F30"/>
    <mergeCell ref="A25:A27"/>
    <mergeCell ref="B25:D26"/>
    <mergeCell ref="G25:G26"/>
    <mergeCell ref="H25:H26"/>
    <mergeCell ref="I25:I26"/>
    <mergeCell ref="B27:D27"/>
    <mergeCell ref="E27:F27"/>
    <mergeCell ref="I35:I37"/>
    <mergeCell ref="B38:D38"/>
    <mergeCell ref="E38:F38"/>
    <mergeCell ref="A31:A34"/>
    <mergeCell ref="B31:D33"/>
    <mergeCell ref="G31:G33"/>
    <mergeCell ref="H31:H33"/>
    <mergeCell ref="I31:I33"/>
    <mergeCell ref="B34:D34"/>
    <mergeCell ref="E34:F34"/>
    <mergeCell ref="A39:H39"/>
    <mergeCell ref="A40:D40"/>
    <mergeCell ref="A41:A42"/>
    <mergeCell ref="B41:D42"/>
    <mergeCell ref="G41:G42"/>
    <mergeCell ref="H41:H42"/>
    <mergeCell ref="A35:A38"/>
    <mergeCell ref="B35:D37"/>
    <mergeCell ref="G35:G37"/>
    <mergeCell ref="H35:H37"/>
    <mergeCell ref="A45:A46"/>
    <mergeCell ref="B45:D46"/>
    <mergeCell ref="G45:G46"/>
    <mergeCell ref="H45:H46"/>
    <mergeCell ref="I45:I46"/>
    <mergeCell ref="A47:H47"/>
    <mergeCell ref="I41:I42"/>
    <mergeCell ref="A43:A44"/>
    <mergeCell ref="B43:D44"/>
    <mergeCell ref="G43:G44"/>
    <mergeCell ref="H43:H44"/>
    <mergeCell ref="I43:I44"/>
    <mergeCell ref="A56:A57"/>
    <mergeCell ref="B56:D56"/>
    <mergeCell ref="B57:D57"/>
    <mergeCell ref="E57:F57"/>
    <mergeCell ref="B58:D58"/>
    <mergeCell ref="A59:A62"/>
    <mergeCell ref="B59:D61"/>
    <mergeCell ref="A48:D48"/>
    <mergeCell ref="B49:D49"/>
    <mergeCell ref="A50:H50"/>
    <mergeCell ref="A52:H52"/>
    <mergeCell ref="A54:I54"/>
    <mergeCell ref="A55:D55"/>
    <mergeCell ref="G59:G61"/>
    <mergeCell ref="H59:H61"/>
    <mergeCell ref="I59:I61"/>
    <mergeCell ref="B62:D62"/>
    <mergeCell ref="E62:F62"/>
    <mergeCell ref="A63:A67"/>
    <mergeCell ref="B63:D66"/>
    <mergeCell ref="G63:G66"/>
    <mergeCell ref="H63:H66"/>
    <mergeCell ref="I63:I66"/>
    <mergeCell ref="B67:D67"/>
    <mergeCell ref="E67:F67"/>
    <mergeCell ref="A68:H68"/>
    <mergeCell ref="A77:D77"/>
    <mergeCell ref="A78:A79"/>
    <mergeCell ref="B78:D79"/>
    <mergeCell ref="E78:E79"/>
    <mergeCell ref="F78:F79"/>
    <mergeCell ref="G78:G79"/>
    <mergeCell ref="H78:H79"/>
    <mergeCell ref="A94:H94"/>
    <mergeCell ref="A95:H95"/>
    <mergeCell ref="A83:H83"/>
    <mergeCell ref="A85:H85"/>
    <mergeCell ref="A88:I89"/>
    <mergeCell ref="A91:H91"/>
    <mergeCell ref="A92:H92"/>
    <mergeCell ref="A93:H93"/>
    <mergeCell ref="I78:I79"/>
    <mergeCell ref="A80:A82"/>
    <mergeCell ref="B80:D82"/>
    <mergeCell ref="G80:G82"/>
    <mergeCell ref="H80:H82"/>
    <mergeCell ref="I80:I8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2021-05-25T11:33:06Z</dcterms:modified>
</cp:coreProperties>
</file>