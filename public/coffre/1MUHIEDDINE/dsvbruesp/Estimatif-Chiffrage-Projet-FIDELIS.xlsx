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JAWAD\Desktop\PARTAGE ECM\Lines &amp; Visions\Fidelis\"/>
    </mc:Choice>
  </mc:AlternateContent>
  <bookViews>
    <workbookView xWindow="0" yWindow="0" windowWidth="20490" windowHeight="7755"/>
  </bookViews>
  <sheets>
    <sheet name="RDC" sheetId="1" r:id="rId1"/>
    <sheet name="1E ETAGE" sheetId="2" r:id="rId2"/>
    <sheet name="2E ETAGE" sheetId="3" r:id="rId3"/>
    <sheet name="3E ETAGE" sheetId="4" r:id="rId4"/>
    <sheet name="Récap R+3" sheetId="5" r:id="rId5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C5" i="5" l="1"/>
  <c r="A5" i="5"/>
  <c r="F6" i="4" l="1"/>
  <c r="F7" i="4"/>
  <c r="F8" i="4"/>
  <c r="F9" i="4"/>
  <c r="F10" i="4"/>
  <c r="F11" i="4"/>
  <c r="F12" i="4"/>
  <c r="F13" i="4"/>
  <c r="F14" i="4"/>
  <c r="F15" i="4"/>
  <c r="F16" i="4"/>
  <c r="F17" i="4"/>
  <c r="F18" i="4"/>
  <c r="F19" i="4"/>
  <c r="F20" i="4"/>
  <c r="F21" i="4"/>
  <c r="F22" i="4"/>
  <c r="F23" i="4"/>
  <c r="F24" i="4"/>
  <c r="F25" i="4"/>
  <c r="F26" i="4"/>
  <c r="F27" i="4"/>
  <c r="F28" i="4"/>
  <c r="F29" i="4"/>
  <c r="F30" i="4"/>
  <c r="F31" i="4"/>
  <c r="F5" i="4"/>
  <c r="E32" i="4"/>
  <c r="D32" i="4"/>
  <c r="C32" i="4"/>
  <c r="F32" i="4" l="1"/>
  <c r="F8" i="3"/>
  <c r="F9" i="3"/>
  <c r="F10" i="3"/>
  <c r="F11" i="3"/>
  <c r="F12" i="3"/>
  <c r="F13" i="3"/>
  <c r="F14" i="3"/>
  <c r="F15" i="3"/>
  <c r="F16" i="3"/>
  <c r="F17" i="3"/>
  <c r="F5" i="3"/>
  <c r="F6" i="3"/>
  <c r="F7" i="3"/>
  <c r="E18" i="3"/>
  <c r="D18" i="3"/>
  <c r="C18" i="3"/>
  <c r="F14" i="2"/>
  <c r="F15" i="2"/>
  <c r="F16" i="2"/>
  <c r="F17" i="2"/>
  <c r="F18" i="2"/>
  <c r="F19" i="2"/>
  <c r="F20" i="2"/>
  <c r="F21" i="2"/>
  <c r="F22" i="2"/>
  <c r="F23" i="2"/>
  <c r="F24" i="2"/>
  <c r="F25" i="2"/>
  <c r="F26" i="2"/>
  <c r="F27" i="2"/>
  <c r="F28" i="2"/>
  <c r="F29" i="2"/>
  <c r="F30" i="2"/>
  <c r="F31" i="2"/>
  <c r="F32" i="2"/>
  <c r="F33" i="2"/>
  <c r="F6" i="2"/>
  <c r="F7" i="2"/>
  <c r="F8" i="2"/>
  <c r="F9" i="2"/>
  <c r="F10" i="2"/>
  <c r="F11" i="2"/>
  <c r="F12" i="2"/>
  <c r="F13" i="2"/>
  <c r="F5" i="2"/>
  <c r="E34" i="2"/>
  <c r="D34" i="2"/>
  <c r="C34" i="2"/>
  <c r="D39" i="1"/>
  <c r="F39" i="1"/>
  <c r="E39" i="1"/>
  <c r="B5" i="5" s="1"/>
  <c r="D5" i="5" s="1"/>
  <c r="G6" i="1"/>
  <c r="G39" i="1" s="1"/>
  <c r="G7" i="1"/>
  <c r="G8" i="1"/>
  <c r="G9" i="1"/>
  <c r="G10" i="1"/>
  <c r="G11" i="1"/>
  <c r="G12" i="1"/>
  <c r="G13" i="1"/>
  <c r="G14" i="1"/>
  <c r="G15" i="1"/>
  <c r="G16" i="1"/>
  <c r="G17" i="1"/>
  <c r="G18" i="1"/>
  <c r="G19" i="1"/>
  <c r="G20" i="1"/>
  <c r="G21" i="1"/>
  <c r="G22" i="1"/>
  <c r="G23" i="1"/>
  <c r="G24" i="1"/>
  <c r="G25" i="1"/>
  <c r="G26" i="1"/>
  <c r="G27" i="1"/>
  <c r="G28" i="1"/>
  <c r="G29" i="1"/>
  <c r="G30" i="1"/>
  <c r="G31" i="1"/>
  <c r="G32" i="1"/>
  <c r="G33" i="1"/>
  <c r="G34" i="1"/>
  <c r="G5" i="1"/>
  <c r="F18" i="3" l="1"/>
  <c r="F34" i="2"/>
</calcChain>
</file>

<file path=xl/sharedStrings.xml><?xml version="1.0" encoding="utf-8"?>
<sst xmlns="http://schemas.openxmlformats.org/spreadsheetml/2006/main" count="121" uniqueCount="79">
  <si>
    <t>HYDRO</t>
  </si>
  <si>
    <t>STANDARD</t>
  </si>
  <si>
    <t>60x60</t>
  </si>
  <si>
    <t>PIECES</t>
  </si>
  <si>
    <t>SE</t>
  </si>
  <si>
    <t>RESTAURANT</t>
  </si>
  <si>
    <t>BUREAU RESPONSABLE</t>
  </si>
  <si>
    <t>SALON</t>
  </si>
  <si>
    <t>TOTAL</t>
  </si>
  <si>
    <t>CHAMBRE</t>
  </si>
  <si>
    <t>DEGAGEMENT</t>
  </si>
  <si>
    <t>BUREAU CC</t>
  </si>
  <si>
    <t>DEGAGEMENT + HALL</t>
  </si>
  <si>
    <t>BUREAU RECOUVREMENT</t>
  </si>
  <si>
    <t>BUREAU INDIVIDUEL 2</t>
  </si>
  <si>
    <t>BUREAU INDIVIDUEL 1</t>
  </si>
  <si>
    <t>POSTE DE CONTROLE</t>
  </si>
  <si>
    <t>SAS SECURITE</t>
  </si>
  <si>
    <t>SAS ENTRÉE PRIVEE</t>
  </si>
  <si>
    <t>BUREAU INDIVIDUEL 3</t>
  </si>
  <si>
    <t>BUREAU COLLECTIF</t>
  </si>
  <si>
    <t>TOILETTE</t>
  </si>
  <si>
    <t>SAS CONTROLE</t>
  </si>
  <si>
    <t>PALIER</t>
  </si>
  <si>
    <t>CF</t>
  </si>
  <si>
    <t>BUREAU INDIVIDUEL 4</t>
  </si>
  <si>
    <t>ATTENTE</t>
  </si>
  <si>
    <t>CAISSE</t>
  </si>
  <si>
    <t>ARCHIVES</t>
  </si>
  <si>
    <t>GUICHET AUTOMATIQUE</t>
  </si>
  <si>
    <t>SAS</t>
  </si>
  <si>
    <t>GUERITE</t>
  </si>
  <si>
    <t>BUREAU 1</t>
  </si>
  <si>
    <t>BUREAU 2</t>
  </si>
  <si>
    <t>BUREAU 3</t>
  </si>
  <si>
    <t>DEGAGEMENT 3</t>
  </si>
  <si>
    <t>BUREAU 4</t>
  </si>
  <si>
    <t>BUREAU 12</t>
  </si>
  <si>
    <t>LT 4</t>
  </si>
  <si>
    <t>SALLE DE REUNION</t>
  </si>
  <si>
    <t>DEGAGEMENT 6</t>
  </si>
  <si>
    <t>T-5</t>
  </si>
  <si>
    <t>K-01</t>
  </si>
  <si>
    <t>BUREAU 11</t>
  </si>
  <si>
    <t>LT</t>
  </si>
  <si>
    <t>BUREAU 10</t>
  </si>
  <si>
    <t>BUREAU 9</t>
  </si>
  <si>
    <t>BUREAU 8</t>
  </si>
  <si>
    <t>BUREAU 7</t>
  </si>
  <si>
    <t>BUREAU 6</t>
  </si>
  <si>
    <t>OPEN SPACE</t>
  </si>
  <si>
    <t>BUREAU 5</t>
  </si>
  <si>
    <t>ARCHIVE</t>
  </si>
  <si>
    <t>RECEPTION</t>
  </si>
  <si>
    <t xml:space="preserve">SALLE AUDIENCE </t>
  </si>
  <si>
    <t>BUREAU OPEN SPACE</t>
  </si>
  <si>
    <t>ATTENTE + HALL</t>
  </si>
  <si>
    <t>BUREAU</t>
  </si>
  <si>
    <t>BUREAU A</t>
  </si>
  <si>
    <t>BUREAU B</t>
  </si>
  <si>
    <t>BUREAU C</t>
  </si>
  <si>
    <t>ESPACE SON NOM</t>
  </si>
  <si>
    <t>SE K-02</t>
  </si>
  <si>
    <t>ESPACE SANS NOM</t>
  </si>
  <si>
    <t>LAVE MAIN</t>
  </si>
  <si>
    <t>TOIL</t>
  </si>
  <si>
    <t>KITCH</t>
  </si>
  <si>
    <t>LOCAL ELEC</t>
  </si>
  <si>
    <t>ACCUEIL +DEG +DEG</t>
  </si>
  <si>
    <t xml:space="preserve">SAS </t>
  </si>
  <si>
    <t>BUREAU DGA</t>
  </si>
  <si>
    <t xml:space="preserve">SALLE DE REUNION </t>
  </si>
  <si>
    <t>ESPACE SANS NON</t>
  </si>
  <si>
    <t>DRESSING</t>
  </si>
  <si>
    <t>SDE</t>
  </si>
  <si>
    <t>SALON PRIVEE</t>
  </si>
  <si>
    <t>SECRETARIAT</t>
  </si>
  <si>
    <t>SALLE D'ATTENTE</t>
  </si>
  <si>
    <t>Récap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</si>
</sst>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3" x14ac:knownFonts="1">
    <font>
      <sz val="12"/>
      <color theme="1"/>
      <name val="Calibri"/>
      <family val="2"/>
      <scheme val="minor"/>
    </font>
    <font>
      <sz val="12"/>
      <color rgb="FFFF0000"/>
      <name val="Calibri"/>
      <family val="2"/>
      <scheme val="minor"/>
    </font>
    <font>
      <sz val="12"/>
      <color theme="0"/>
      <name val="Calibri"/>
      <family val="2"/>
      <scheme val="minor"/>
    </font>
  </fonts>
  <fills count="8">
    <fill>
      <patternFill patternType="none"/>
    </fill>
    <fill>
      <patternFill patternType="gray125"/>
    </fill>
    <fill>
      <patternFill patternType="solid">
        <fgColor theme="9" tint="0.39997558519241921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rgb="FFC00000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1" xfId="0" applyBorder="1"/>
    <xf numFmtId="0" fontId="0" fillId="2" borderId="1" xfId="0" applyFill="1" applyBorder="1" applyAlignment="1">
      <alignment horizontal="center"/>
    </xf>
    <xf numFmtId="0" fontId="1" fillId="3" borderId="1" xfId="0" applyFont="1" applyFill="1" applyBorder="1" applyAlignment="1">
      <alignment horizontal="center"/>
    </xf>
    <xf numFmtId="0" fontId="0" fillId="4" borderId="1" xfId="0" applyFill="1" applyBorder="1" applyAlignment="1">
      <alignment horizontal="center"/>
    </xf>
    <xf numFmtId="0" fontId="2" fillId="5" borderId="1" xfId="0" applyFont="1" applyFill="1" applyBorder="1"/>
    <xf numFmtId="0" fontId="0" fillId="6" borderId="1" xfId="0" applyFill="1" applyBorder="1" applyAlignment="1">
      <alignment horizontal="center"/>
    </xf>
    <xf numFmtId="0" fontId="0" fillId="7" borderId="1" xfId="0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C4:G39"/>
  <sheetViews>
    <sheetView tabSelected="1" topLeftCell="A19" workbookViewId="0">
      <selection activeCell="H31" sqref="H31"/>
    </sheetView>
  </sheetViews>
  <sheetFormatPr baseColWidth="10" defaultRowHeight="15.75" x14ac:dyDescent="0.25"/>
  <cols>
    <col min="3" max="3" width="29.375" customWidth="1"/>
  </cols>
  <sheetData>
    <row r="4" spans="3:7" x14ac:dyDescent="0.25">
      <c r="C4" s="5" t="s">
        <v>3</v>
      </c>
      <c r="D4" s="2" t="s">
        <v>0</v>
      </c>
      <c r="E4" s="3" t="s">
        <v>1</v>
      </c>
      <c r="F4" s="4" t="s">
        <v>2</v>
      </c>
      <c r="G4" s="6" t="s">
        <v>8</v>
      </c>
    </row>
    <row r="5" spans="3:7" x14ac:dyDescent="0.25">
      <c r="C5" s="1" t="s">
        <v>4</v>
      </c>
      <c r="D5" s="1">
        <v>4.4000000000000004</v>
      </c>
      <c r="E5" s="1"/>
      <c r="F5" s="1"/>
      <c r="G5" s="1">
        <f>SUM(D5:F5)</f>
        <v>4.4000000000000004</v>
      </c>
    </row>
    <row r="6" spans="3:7" x14ac:dyDescent="0.25">
      <c r="C6" s="1" t="s">
        <v>4</v>
      </c>
      <c r="D6" s="1">
        <v>4.4000000000000004</v>
      </c>
      <c r="E6" s="1"/>
      <c r="F6" s="1"/>
      <c r="G6" s="1">
        <f t="shared" ref="G6:G34" si="0">SUM(D6:F6)</f>
        <v>4.4000000000000004</v>
      </c>
    </row>
    <row r="7" spans="3:7" x14ac:dyDescent="0.25">
      <c r="C7" s="1" t="s">
        <v>5</v>
      </c>
      <c r="D7" s="1"/>
      <c r="E7" s="1">
        <v>8.4</v>
      </c>
      <c r="F7" s="1">
        <v>25.2</v>
      </c>
      <c r="G7" s="1">
        <f t="shared" si="0"/>
        <v>33.6</v>
      </c>
    </row>
    <row r="8" spans="3:7" x14ac:dyDescent="0.25">
      <c r="C8" s="1" t="s">
        <v>6</v>
      </c>
      <c r="D8" s="1"/>
      <c r="E8" s="1">
        <v>3.65</v>
      </c>
      <c r="F8" s="1">
        <v>10.8</v>
      </c>
      <c r="G8" s="1">
        <f t="shared" si="0"/>
        <v>14.450000000000001</v>
      </c>
    </row>
    <row r="9" spans="3:7" x14ac:dyDescent="0.25">
      <c r="C9" s="1" t="s">
        <v>7</v>
      </c>
      <c r="D9" s="1"/>
      <c r="E9" s="1">
        <v>4.74</v>
      </c>
      <c r="F9" s="1">
        <v>7.56</v>
      </c>
      <c r="G9" s="1">
        <f t="shared" si="0"/>
        <v>12.3</v>
      </c>
    </row>
    <row r="10" spans="3:7" x14ac:dyDescent="0.25">
      <c r="C10" s="1" t="s">
        <v>62</v>
      </c>
      <c r="D10" s="1">
        <v>2.5499999999999998</v>
      </c>
      <c r="E10" s="1"/>
      <c r="F10" s="1"/>
      <c r="G10" s="1">
        <f t="shared" si="0"/>
        <v>2.5499999999999998</v>
      </c>
    </row>
    <row r="11" spans="3:7" x14ac:dyDescent="0.25">
      <c r="C11" s="1" t="s">
        <v>4</v>
      </c>
      <c r="D11" s="1">
        <v>3.85</v>
      </c>
      <c r="E11" s="1"/>
      <c r="F11" s="1"/>
      <c r="G11" s="1">
        <f t="shared" si="0"/>
        <v>3.85</v>
      </c>
    </row>
    <row r="12" spans="3:7" x14ac:dyDescent="0.25">
      <c r="C12" s="1" t="s">
        <v>9</v>
      </c>
      <c r="D12" s="1"/>
      <c r="E12" s="1">
        <v>3.58</v>
      </c>
      <c r="F12" s="1">
        <v>6.12</v>
      </c>
      <c r="G12" s="1">
        <f t="shared" si="0"/>
        <v>9.6999999999999993</v>
      </c>
    </row>
    <row r="13" spans="3:7" x14ac:dyDescent="0.25">
      <c r="C13" s="1" t="s">
        <v>10</v>
      </c>
      <c r="D13" s="1"/>
      <c r="E13" s="1">
        <v>3.76</v>
      </c>
      <c r="F13" s="1">
        <v>5.76</v>
      </c>
      <c r="G13" s="1">
        <f t="shared" si="0"/>
        <v>9.52</v>
      </c>
    </row>
    <row r="14" spans="3:7" x14ac:dyDescent="0.25">
      <c r="C14" s="1" t="s">
        <v>11</v>
      </c>
      <c r="D14" s="1"/>
      <c r="E14" s="1">
        <v>4.25</v>
      </c>
      <c r="F14" s="1">
        <v>5.4</v>
      </c>
      <c r="G14" s="1">
        <f t="shared" si="0"/>
        <v>9.65</v>
      </c>
    </row>
    <row r="15" spans="3:7" x14ac:dyDescent="0.25">
      <c r="C15" s="1" t="s">
        <v>12</v>
      </c>
      <c r="D15" s="1"/>
      <c r="E15" s="1">
        <v>13.8</v>
      </c>
      <c r="F15" s="1">
        <v>24.42</v>
      </c>
      <c r="G15" s="1">
        <f t="shared" si="0"/>
        <v>38.22</v>
      </c>
    </row>
    <row r="16" spans="3:7" x14ac:dyDescent="0.25">
      <c r="C16" s="1" t="s">
        <v>13</v>
      </c>
      <c r="D16" s="1"/>
      <c r="E16" s="1">
        <v>2.5499999999999998</v>
      </c>
      <c r="F16" s="1">
        <v>7.2</v>
      </c>
      <c r="G16" s="1">
        <f t="shared" si="0"/>
        <v>9.75</v>
      </c>
    </row>
    <row r="17" spans="3:7" x14ac:dyDescent="0.25">
      <c r="C17" s="1" t="s">
        <v>14</v>
      </c>
      <c r="D17" s="1"/>
      <c r="E17" s="1">
        <v>2.5299999999999998</v>
      </c>
      <c r="F17" s="1">
        <v>4.32</v>
      </c>
      <c r="G17" s="1">
        <f t="shared" si="0"/>
        <v>6.85</v>
      </c>
    </row>
    <row r="18" spans="3:7" x14ac:dyDescent="0.25">
      <c r="C18" s="1" t="s">
        <v>15</v>
      </c>
      <c r="D18" s="1"/>
      <c r="E18" s="1">
        <v>2.67</v>
      </c>
      <c r="F18" s="1">
        <v>10.08</v>
      </c>
      <c r="G18" s="1">
        <f t="shared" si="0"/>
        <v>12.75</v>
      </c>
    </row>
    <row r="19" spans="3:7" x14ac:dyDescent="0.25">
      <c r="C19" s="1" t="s">
        <v>16</v>
      </c>
      <c r="D19" s="1"/>
      <c r="E19" s="1">
        <v>2.78</v>
      </c>
      <c r="F19" s="1">
        <v>4.32</v>
      </c>
      <c r="G19" s="1">
        <f t="shared" si="0"/>
        <v>7.1</v>
      </c>
    </row>
    <row r="20" spans="3:7" x14ac:dyDescent="0.25">
      <c r="C20" s="1" t="s">
        <v>17</v>
      </c>
      <c r="D20" s="1"/>
      <c r="E20" s="1">
        <v>3.62</v>
      </c>
      <c r="F20" s="1">
        <v>6.48</v>
      </c>
      <c r="G20" s="1">
        <f t="shared" si="0"/>
        <v>10.100000000000001</v>
      </c>
    </row>
    <row r="21" spans="3:7" x14ac:dyDescent="0.25">
      <c r="C21" s="1" t="s">
        <v>18</v>
      </c>
      <c r="D21" s="1"/>
      <c r="E21" s="1">
        <v>1.56</v>
      </c>
      <c r="F21" s="1">
        <v>3.24</v>
      </c>
      <c r="G21" s="1">
        <f t="shared" si="0"/>
        <v>4.8000000000000007</v>
      </c>
    </row>
    <row r="22" spans="3:7" x14ac:dyDescent="0.25">
      <c r="C22" s="1" t="s">
        <v>19</v>
      </c>
      <c r="D22" s="1"/>
      <c r="E22" s="1">
        <v>6.37</v>
      </c>
      <c r="F22" s="1">
        <v>11.88</v>
      </c>
      <c r="G22" s="1">
        <f t="shared" si="0"/>
        <v>18.25</v>
      </c>
    </row>
    <row r="23" spans="3:7" x14ac:dyDescent="0.25">
      <c r="C23" s="1" t="s">
        <v>20</v>
      </c>
      <c r="D23" s="1"/>
      <c r="E23" s="1">
        <v>3.6</v>
      </c>
      <c r="F23" s="1">
        <v>10.8</v>
      </c>
      <c r="G23" s="1">
        <f t="shared" si="0"/>
        <v>14.4</v>
      </c>
    </row>
    <row r="24" spans="3:7" x14ac:dyDescent="0.25">
      <c r="C24" s="1" t="s">
        <v>21</v>
      </c>
      <c r="D24" s="1">
        <v>10.199999999999999</v>
      </c>
      <c r="E24" s="1"/>
      <c r="F24" s="1"/>
      <c r="G24" s="1">
        <f t="shared" si="0"/>
        <v>10.199999999999999</v>
      </c>
    </row>
    <row r="25" spans="3:7" x14ac:dyDescent="0.25">
      <c r="C25" s="1" t="s">
        <v>22</v>
      </c>
      <c r="D25" s="1"/>
      <c r="E25" s="1">
        <v>1.94</v>
      </c>
      <c r="F25" s="1">
        <v>12.96</v>
      </c>
      <c r="G25" s="1">
        <f t="shared" si="0"/>
        <v>14.9</v>
      </c>
    </row>
    <row r="26" spans="3:7" x14ac:dyDescent="0.25">
      <c r="C26" s="1" t="s">
        <v>23</v>
      </c>
      <c r="D26" s="1"/>
      <c r="E26" s="1">
        <v>2.02</v>
      </c>
      <c r="F26" s="1">
        <v>2.88</v>
      </c>
      <c r="G26" s="1">
        <f t="shared" si="0"/>
        <v>4.9000000000000004</v>
      </c>
    </row>
    <row r="27" spans="3:7" x14ac:dyDescent="0.25">
      <c r="C27" s="1" t="s">
        <v>10</v>
      </c>
      <c r="D27" s="1"/>
      <c r="E27" s="1">
        <v>1.96</v>
      </c>
      <c r="F27" s="1">
        <v>1.44</v>
      </c>
      <c r="G27" s="1">
        <f t="shared" si="0"/>
        <v>3.4</v>
      </c>
    </row>
    <row r="28" spans="3:7" x14ac:dyDescent="0.25">
      <c r="C28" s="1" t="s">
        <v>21</v>
      </c>
      <c r="D28" s="1">
        <v>2.92</v>
      </c>
      <c r="E28" s="1"/>
      <c r="F28" s="1"/>
      <c r="G28" s="1">
        <f t="shared" si="0"/>
        <v>2.92</v>
      </c>
    </row>
    <row r="29" spans="3:7" x14ac:dyDescent="0.25">
      <c r="C29" s="1" t="s">
        <v>24</v>
      </c>
      <c r="D29" s="1"/>
      <c r="E29" s="1">
        <v>0.8</v>
      </c>
      <c r="F29" s="1">
        <v>2.16</v>
      </c>
      <c r="G29" s="1">
        <f t="shared" si="0"/>
        <v>2.96</v>
      </c>
    </row>
    <row r="30" spans="3:7" x14ac:dyDescent="0.25">
      <c r="C30" s="1" t="s">
        <v>10</v>
      </c>
      <c r="D30" s="1"/>
      <c r="E30" s="1">
        <v>1.37</v>
      </c>
      <c r="F30" s="1">
        <v>1.08</v>
      </c>
      <c r="G30" s="1">
        <f t="shared" si="0"/>
        <v>2.4500000000000002</v>
      </c>
    </row>
    <row r="31" spans="3:7" x14ac:dyDescent="0.25">
      <c r="C31" s="1" t="s">
        <v>25</v>
      </c>
      <c r="D31" s="1"/>
      <c r="E31" s="1">
        <v>4.72</v>
      </c>
      <c r="F31" s="1">
        <v>13.68</v>
      </c>
      <c r="G31" s="1">
        <f t="shared" si="0"/>
        <v>18.399999999999999</v>
      </c>
    </row>
    <row r="32" spans="3:7" x14ac:dyDescent="0.25">
      <c r="C32" s="1" t="s">
        <v>26</v>
      </c>
      <c r="D32" s="1"/>
      <c r="E32" s="1">
        <v>37.42</v>
      </c>
      <c r="F32" s="1"/>
      <c r="G32" s="1">
        <f t="shared" si="0"/>
        <v>37.42</v>
      </c>
    </row>
    <row r="33" spans="3:7" x14ac:dyDescent="0.25">
      <c r="C33" s="1" t="s">
        <v>27</v>
      </c>
      <c r="D33" s="1"/>
      <c r="E33" s="1">
        <v>7.06</v>
      </c>
      <c r="F33" s="1">
        <v>8.64</v>
      </c>
      <c r="G33" s="1">
        <f t="shared" si="0"/>
        <v>15.7</v>
      </c>
    </row>
    <row r="34" spans="3:7" x14ac:dyDescent="0.25">
      <c r="C34" s="1" t="s">
        <v>28</v>
      </c>
      <c r="D34" s="1"/>
      <c r="E34" s="1">
        <v>2.5099999999999998</v>
      </c>
      <c r="F34" s="1">
        <v>8.64</v>
      </c>
      <c r="G34" s="1">
        <f t="shared" si="0"/>
        <v>11.15</v>
      </c>
    </row>
    <row r="35" spans="3:7" x14ac:dyDescent="0.25">
      <c r="C35" s="1" t="s">
        <v>29</v>
      </c>
      <c r="D35" s="1"/>
      <c r="E35" s="1">
        <v>9.15</v>
      </c>
      <c r="F35" s="1"/>
      <c r="G35" s="1"/>
    </row>
    <row r="36" spans="3:7" x14ac:dyDescent="0.25">
      <c r="C36" s="1" t="s">
        <v>30</v>
      </c>
      <c r="D36" s="1"/>
      <c r="E36" s="1">
        <v>6.55</v>
      </c>
      <c r="F36" s="1"/>
      <c r="G36" s="1"/>
    </row>
    <row r="37" spans="3:7" x14ac:dyDescent="0.25">
      <c r="C37" s="1" t="s">
        <v>31</v>
      </c>
      <c r="D37" s="1"/>
      <c r="E37" s="1">
        <v>3.06</v>
      </c>
      <c r="F37" s="1">
        <v>1.44</v>
      </c>
      <c r="G37" s="1"/>
    </row>
    <row r="38" spans="3:7" x14ac:dyDescent="0.25">
      <c r="C38" s="1" t="s">
        <v>63</v>
      </c>
      <c r="D38" s="1"/>
      <c r="E38" s="1">
        <v>19.28</v>
      </c>
      <c r="F38" s="1"/>
      <c r="G38" s="1"/>
    </row>
    <row r="39" spans="3:7" x14ac:dyDescent="0.25">
      <c r="C39" s="7"/>
      <c r="D39" s="7">
        <f>SUM(D5:D38)</f>
        <v>28.32</v>
      </c>
      <c r="E39" s="7">
        <f>SUM(E5:E38)</f>
        <v>165.7</v>
      </c>
      <c r="F39" s="7">
        <f t="shared" ref="F39:G39" si="1">SUM(F5:F38)</f>
        <v>196.5</v>
      </c>
      <c r="G39" s="7">
        <f t="shared" si="1"/>
        <v>351.03999999999991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4:F34"/>
  <sheetViews>
    <sheetView topLeftCell="A13" workbookViewId="0">
      <selection activeCell="F34" sqref="B4:F34"/>
    </sheetView>
  </sheetViews>
  <sheetFormatPr baseColWidth="10" defaultRowHeight="15.75" x14ac:dyDescent="0.25"/>
  <cols>
    <col min="2" max="2" width="17.375" bestFit="1" customWidth="1"/>
  </cols>
  <sheetData>
    <row r="4" spans="2:6" x14ac:dyDescent="0.25">
      <c r="B4" s="5" t="s">
        <v>3</v>
      </c>
      <c r="C4" s="2" t="s">
        <v>0</v>
      </c>
      <c r="D4" s="3" t="s">
        <v>1</v>
      </c>
      <c r="E4" s="4" t="s">
        <v>2</v>
      </c>
      <c r="F4" s="6" t="s">
        <v>8</v>
      </c>
    </row>
    <row r="5" spans="2:6" x14ac:dyDescent="0.25">
      <c r="B5" s="1" t="s">
        <v>30</v>
      </c>
      <c r="C5" s="1"/>
      <c r="D5" s="1">
        <v>5.3</v>
      </c>
      <c r="E5" s="1">
        <v>5.4</v>
      </c>
      <c r="F5" s="1">
        <f>SUM(C5:E5)</f>
        <v>10.7</v>
      </c>
    </row>
    <row r="6" spans="2:6" x14ac:dyDescent="0.25">
      <c r="B6" s="1" t="s">
        <v>32</v>
      </c>
      <c r="C6" s="1"/>
      <c r="D6" s="1">
        <v>3.68</v>
      </c>
      <c r="E6" s="1">
        <v>11.52</v>
      </c>
      <c r="F6" s="1">
        <f t="shared" ref="F6:F33" si="0">SUM(C6:E6)</f>
        <v>15.2</v>
      </c>
    </row>
    <row r="7" spans="2:6" x14ac:dyDescent="0.25">
      <c r="B7" s="1" t="s">
        <v>33</v>
      </c>
      <c r="C7" s="1"/>
      <c r="D7" s="1">
        <v>2.92</v>
      </c>
      <c r="E7" s="1">
        <v>10.08</v>
      </c>
      <c r="F7" s="1">
        <f t="shared" si="0"/>
        <v>13</v>
      </c>
    </row>
    <row r="8" spans="2:6" x14ac:dyDescent="0.25">
      <c r="B8" s="1" t="s">
        <v>34</v>
      </c>
      <c r="C8" s="1"/>
      <c r="D8" s="1">
        <v>5.6</v>
      </c>
      <c r="E8" s="1">
        <v>11.52</v>
      </c>
      <c r="F8" s="1">
        <f t="shared" si="0"/>
        <v>17.119999999999997</v>
      </c>
    </row>
    <row r="9" spans="2:6" x14ac:dyDescent="0.25">
      <c r="B9" s="1" t="s">
        <v>35</v>
      </c>
      <c r="C9" s="1"/>
      <c r="D9" s="1">
        <v>6.79</v>
      </c>
      <c r="E9" s="1">
        <v>6.48</v>
      </c>
      <c r="F9" s="1">
        <f t="shared" si="0"/>
        <v>13.27</v>
      </c>
    </row>
    <row r="10" spans="2:6" x14ac:dyDescent="0.25">
      <c r="B10" s="1" t="s">
        <v>36</v>
      </c>
      <c r="C10" s="1"/>
      <c r="D10" s="1">
        <v>3.66</v>
      </c>
      <c r="E10" s="1">
        <v>8.64</v>
      </c>
      <c r="F10" s="1">
        <f t="shared" si="0"/>
        <v>12.3</v>
      </c>
    </row>
    <row r="11" spans="2:6" x14ac:dyDescent="0.25">
      <c r="B11" s="1" t="s">
        <v>37</v>
      </c>
      <c r="C11" s="1"/>
      <c r="D11" s="1">
        <v>4.4800000000000004</v>
      </c>
      <c r="E11" s="1">
        <v>9.7200000000000006</v>
      </c>
      <c r="F11" s="1">
        <f t="shared" si="0"/>
        <v>14.200000000000001</v>
      </c>
    </row>
    <row r="12" spans="2:6" x14ac:dyDescent="0.25">
      <c r="B12" s="1" t="s">
        <v>38</v>
      </c>
      <c r="C12" s="1"/>
      <c r="D12" s="1">
        <v>2.15</v>
      </c>
      <c r="E12" s="1"/>
      <c r="F12" s="1">
        <f t="shared" si="0"/>
        <v>2.15</v>
      </c>
    </row>
    <row r="13" spans="2:6" x14ac:dyDescent="0.25">
      <c r="B13" s="1" t="s">
        <v>4</v>
      </c>
      <c r="C13" s="1">
        <v>2.35</v>
      </c>
      <c r="D13" s="1"/>
      <c r="E13" s="1"/>
      <c r="F13" s="1">
        <f t="shared" si="0"/>
        <v>2.35</v>
      </c>
    </row>
    <row r="14" spans="2:6" x14ac:dyDescent="0.25">
      <c r="B14" s="1" t="s">
        <v>4</v>
      </c>
      <c r="C14" s="1">
        <v>2.68</v>
      </c>
      <c r="D14" s="1"/>
      <c r="E14" s="1"/>
      <c r="F14" s="1">
        <f t="shared" si="0"/>
        <v>2.68</v>
      </c>
    </row>
    <row r="15" spans="2:6" x14ac:dyDescent="0.25">
      <c r="B15" s="1" t="s">
        <v>26</v>
      </c>
      <c r="C15" s="1"/>
      <c r="D15" s="1">
        <v>5.64</v>
      </c>
      <c r="E15" s="1">
        <v>12.96</v>
      </c>
      <c r="F15" s="1">
        <f t="shared" si="0"/>
        <v>18.600000000000001</v>
      </c>
    </row>
    <row r="16" spans="2:6" x14ac:dyDescent="0.25">
      <c r="B16" s="1" t="s">
        <v>39</v>
      </c>
      <c r="C16" s="1"/>
      <c r="D16" s="1">
        <v>3.23</v>
      </c>
      <c r="E16" s="1">
        <v>15.12</v>
      </c>
      <c r="F16" s="1">
        <f t="shared" si="0"/>
        <v>18.349999999999998</v>
      </c>
    </row>
    <row r="17" spans="2:6" x14ac:dyDescent="0.25">
      <c r="B17" s="1" t="s">
        <v>40</v>
      </c>
      <c r="C17" s="1"/>
      <c r="D17" s="1"/>
      <c r="E17" s="1"/>
      <c r="F17" s="1">
        <f t="shared" si="0"/>
        <v>0</v>
      </c>
    </row>
    <row r="18" spans="2:6" x14ac:dyDescent="0.25">
      <c r="B18" s="1" t="s">
        <v>41</v>
      </c>
      <c r="C18" s="1">
        <v>4.7</v>
      </c>
      <c r="D18" s="1"/>
      <c r="E18" s="1"/>
      <c r="F18" s="1">
        <f t="shared" si="0"/>
        <v>4.7</v>
      </c>
    </row>
    <row r="19" spans="2:6" x14ac:dyDescent="0.25">
      <c r="B19" s="1" t="s">
        <v>42</v>
      </c>
      <c r="C19" s="1">
        <v>2.2999999999999998</v>
      </c>
      <c r="D19" s="1"/>
      <c r="E19" s="1"/>
      <c r="F19" s="1">
        <f t="shared" si="0"/>
        <v>2.2999999999999998</v>
      </c>
    </row>
    <row r="20" spans="2:6" x14ac:dyDescent="0.25">
      <c r="B20" s="1" t="s">
        <v>43</v>
      </c>
      <c r="C20" s="1"/>
      <c r="D20" s="1">
        <v>6.19</v>
      </c>
      <c r="E20" s="1">
        <v>27.36</v>
      </c>
      <c r="F20" s="1">
        <f t="shared" si="0"/>
        <v>33.549999999999997</v>
      </c>
    </row>
    <row r="21" spans="2:6" x14ac:dyDescent="0.25">
      <c r="B21" s="1" t="s">
        <v>44</v>
      </c>
      <c r="C21" s="1"/>
      <c r="D21" s="1">
        <v>1.4</v>
      </c>
      <c r="E21" s="1"/>
      <c r="F21" s="1">
        <f t="shared" si="0"/>
        <v>1.4</v>
      </c>
    </row>
    <row r="22" spans="2:6" x14ac:dyDescent="0.25">
      <c r="B22" s="1" t="s">
        <v>44</v>
      </c>
      <c r="C22" s="1"/>
      <c r="D22" s="1">
        <v>1.4</v>
      </c>
      <c r="E22" s="1"/>
      <c r="F22" s="1">
        <f t="shared" si="0"/>
        <v>1.4</v>
      </c>
    </row>
    <row r="23" spans="2:6" x14ac:dyDescent="0.25">
      <c r="B23" s="1" t="s">
        <v>45</v>
      </c>
      <c r="C23" s="1"/>
      <c r="D23" s="1">
        <v>3.57</v>
      </c>
      <c r="E23" s="1">
        <v>8.2799999999999994</v>
      </c>
      <c r="F23" s="1">
        <f t="shared" si="0"/>
        <v>11.85</v>
      </c>
    </row>
    <row r="24" spans="2:6" x14ac:dyDescent="0.25">
      <c r="B24" s="1" t="s">
        <v>46</v>
      </c>
      <c r="C24" s="1"/>
      <c r="D24" s="1">
        <v>2.86</v>
      </c>
      <c r="E24" s="1">
        <v>8.64</v>
      </c>
      <c r="F24" s="1">
        <f t="shared" si="0"/>
        <v>11.5</v>
      </c>
    </row>
    <row r="25" spans="2:6" x14ac:dyDescent="0.25">
      <c r="B25" s="1" t="s">
        <v>47</v>
      </c>
      <c r="C25" s="1"/>
      <c r="D25" s="1">
        <v>3.97</v>
      </c>
      <c r="E25" s="1">
        <v>6.48</v>
      </c>
      <c r="F25" s="1">
        <f t="shared" si="0"/>
        <v>10.450000000000001</v>
      </c>
    </row>
    <row r="26" spans="2:6" x14ac:dyDescent="0.25">
      <c r="B26" s="1" t="s">
        <v>48</v>
      </c>
      <c r="C26" s="1"/>
      <c r="D26" s="1">
        <v>3.71</v>
      </c>
      <c r="E26" s="1">
        <v>6.84</v>
      </c>
      <c r="F26" s="1">
        <f t="shared" si="0"/>
        <v>10.55</v>
      </c>
    </row>
    <row r="27" spans="2:6" x14ac:dyDescent="0.25">
      <c r="B27" s="1" t="s">
        <v>49</v>
      </c>
      <c r="C27" s="1"/>
      <c r="D27" s="1">
        <v>5.84</v>
      </c>
      <c r="E27" s="1">
        <v>17.28</v>
      </c>
      <c r="F27" s="1">
        <f t="shared" si="0"/>
        <v>23.12</v>
      </c>
    </row>
    <row r="28" spans="2:6" x14ac:dyDescent="0.25">
      <c r="B28" s="1" t="s">
        <v>50</v>
      </c>
      <c r="C28" s="1"/>
      <c r="D28" s="1">
        <v>6.53</v>
      </c>
      <c r="E28" s="1">
        <v>16.920000000000002</v>
      </c>
      <c r="F28" s="1">
        <f t="shared" si="0"/>
        <v>23.450000000000003</v>
      </c>
    </row>
    <row r="29" spans="2:6" x14ac:dyDescent="0.25">
      <c r="B29" s="1" t="s">
        <v>51</v>
      </c>
      <c r="C29" s="1"/>
      <c r="D29" s="1">
        <v>2.98</v>
      </c>
      <c r="E29" s="1">
        <v>9.7200000000000006</v>
      </c>
      <c r="F29" s="1">
        <f t="shared" si="0"/>
        <v>12.700000000000001</v>
      </c>
    </row>
    <row r="30" spans="2:6" x14ac:dyDescent="0.25">
      <c r="B30" s="1" t="s">
        <v>40</v>
      </c>
      <c r="C30" s="1"/>
      <c r="D30" s="1">
        <v>21.21</v>
      </c>
      <c r="E30" s="1">
        <v>25.92</v>
      </c>
      <c r="F30" s="1">
        <f t="shared" si="0"/>
        <v>47.13</v>
      </c>
    </row>
    <row r="31" spans="2:6" x14ac:dyDescent="0.25">
      <c r="B31" s="1" t="s">
        <v>52</v>
      </c>
      <c r="C31" s="1"/>
      <c r="D31" s="1">
        <v>3.32</v>
      </c>
      <c r="E31" s="1">
        <v>23.4</v>
      </c>
      <c r="F31" s="1">
        <f t="shared" si="0"/>
        <v>26.72</v>
      </c>
    </row>
    <row r="32" spans="2:6" x14ac:dyDescent="0.25">
      <c r="B32" s="1" t="s">
        <v>21</v>
      </c>
      <c r="C32" s="1">
        <v>8.33</v>
      </c>
      <c r="D32" s="1"/>
      <c r="E32" s="1"/>
      <c r="F32" s="1">
        <f t="shared" si="0"/>
        <v>8.33</v>
      </c>
    </row>
    <row r="33" spans="2:6" x14ac:dyDescent="0.25">
      <c r="B33" s="1" t="s">
        <v>53</v>
      </c>
      <c r="C33" s="1"/>
      <c r="D33" s="1">
        <v>4.8899999999999997</v>
      </c>
      <c r="E33" s="1">
        <v>2.16</v>
      </c>
      <c r="F33" s="1">
        <f t="shared" si="0"/>
        <v>7.05</v>
      </c>
    </row>
    <row r="34" spans="2:6" x14ac:dyDescent="0.25">
      <c r="B34" s="7"/>
      <c r="C34" s="7">
        <f>SUM(C5:C33)</f>
        <v>20.36</v>
      </c>
      <c r="D34" s="7">
        <f>SUM(D5:D33)</f>
        <v>111.31999999999998</v>
      </c>
      <c r="E34" s="7">
        <f>SUM(E5:E33)</f>
        <v>244.44</v>
      </c>
      <c r="F34" s="7">
        <f>SUM(F5:F33)</f>
        <v>376.12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4:F18"/>
  <sheetViews>
    <sheetView topLeftCell="A4" workbookViewId="0">
      <selection activeCell="C27" sqref="C27"/>
    </sheetView>
  </sheetViews>
  <sheetFormatPr baseColWidth="10" defaultRowHeight="15.75" x14ac:dyDescent="0.25"/>
  <cols>
    <col min="2" max="2" width="36.125" customWidth="1"/>
  </cols>
  <sheetData>
    <row r="4" spans="2:6" x14ac:dyDescent="0.25">
      <c r="B4" s="5" t="s">
        <v>3</v>
      </c>
      <c r="C4" s="2" t="s">
        <v>0</v>
      </c>
      <c r="D4" s="3" t="s">
        <v>1</v>
      </c>
      <c r="E4" s="4" t="s">
        <v>2</v>
      </c>
      <c r="F4" s="6" t="s">
        <v>8</v>
      </c>
    </row>
    <row r="5" spans="2:6" x14ac:dyDescent="0.25">
      <c r="B5" s="1" t="s">
        <v>23</v>
      </c>
      <c r="C5" s="1"/>
      <c r="D5" s="1">
        <v>6.65</v>
      </c>
      <c r="E5" s="1"/>
      <c r="F5" s="1">
        <f t="shared" ref="F5:F17" si="0">SUM(C5:E5)</f>
        <v>6.65</v>
      </c>
    </row>
    <row r="6" spans="2:6" x14ac:dyDescent="0.25">
      <c r="B6" s="1" t="s">
        <v>21</v>
      </c>
      <c r="C6" s="1">
        <v>10.1</v>
      </c>
      <c r="D6" s="1"/>
      <c r="E6" s="1"/>
      <c r="F6" s="1">
        <f t="shared" si="0"/>
        <v>10.1</v>
      </c>
    </row>
    <row r="7" spans="2:6" x14ac:dyDescent="0.25">
      <c r="B7" s="1" t="s">
        <v>54</v>
      </c>
      <c r="C7" s="1"/>
      <c r="D7" s="1">
        <v>8.07</v>
      </c>
      <c r="E7" s="1">
        <v>10.8</v>
      </c>
      <c r="F7" s="1">
        <f>SUM(C7:E7)</f>
        <v>18.87</v>
      </c>
    </row>
    <row r="8" spans="2:6" x14ac:dyDescent="0.25">
      <c r="B8" s="1" t="s">
        <v>32</v>
      </c>
      <c r="C8" s="1"/>
      <c r="D8" s="1">
        <v>8.07</v>
      </c>
      <c r="E8" s="1">
        <v>10.8</v>
      </c>
      <c r="F8" s="1">
        <f t="shared" si="0"/>
        <v>18.87</v>
      </c>
    </row>
    <row r="9" spans="2:6" x14ac:dyDescent="0.25">
      <c r="B9" s="1" t="s">
        <v>55</v>
      </c>
      <c r="C9" s="1"/>
      <c r="D9" s="1">
        <v>10.72</v>
      </c>
      <c r="E9" s="1">
        <v>21.6</v>
      </c>
      <c r="F9" s="1">
        <f t="shared" si="0"/>
        <v>32.32</v>
      </c>
    </row>
    <row r="10" spans="2:6" x14ac:dyDescent="0.25">
      <c r="B10" s="1" t="s">
        <v>56</v>
      </c>
      <c r="C10" s="1"/>
      <c r="D10" s="1">
        <v>25.82</v>
      </c>
      <c r="E10" s="1">
        <v>10.8</v>
      </c>
      <c r="F10" s="1">
        <f t="shared" si="0"/>
        <v>36.620000000000005</v>
      </c>
    </row>
    <row r="11" spans="2:6" x14ac:dyDescent="0.25">
      <c r="B11" s="1" t="s">
        <v>23</v>
      </c>
      <c r="C11" s="1"/>
      <c r="D11" s="1">
        <v>3.22</v>
      </c>
      <c r="E11" s="1">
        <v>1.08</v>
      </c>
      <c r="F11" s="1">
        <f t="shared" si="0"/>
        <v>4.3000000000000007</v>
      </c>
    </row>
    <row r="12" spans="2:6" x14ac:dyDescent="0.25">
      <c r="B12" s="1" t="s">
        <v>57</v>
      </c>
      <c r="C12" s="1"/>
      <c r="D12" s="1">
        <v>9.61</v>
      </c>
      <c r="E12" s="1">
        <v>12.24</v>
      </c>
      <c r="F12" s="1">
        <f t="shared" si="0"/>
        <v>21.85</v>
      </c>
    </row>
    <row r="13" spans="2:6" x14ac:dyDescent="0.25">
      <c r="B13" s="1" t="s">
        <v>58</v>
      </c>
      <c r="C13" s="1"/>
      <c r="D13" s="1">
        <v>4.58</v>
      </c>
      <c r="E13" s="1">
        <v>4.32</v>
      </c>
      <c r="F13" s="1">
        <f t="shared" si="0"/>
        <v>8.9</v>
      </c>
    </row>
    <row r="14" spans="2:6" x14ac:dyDescent="0.25">
      <c r="B14" s="1" t="s">
        <v>59</v>
      </c>
      <c r="C14" s="1"/>
      <c r="D14" s="1">
        <v>4.5199999999999996</v>
      </c>
      <c r="E14" s="1">
        <v>5.4</v>
      </c>
      <c r="F14" s="1">
        <f t="shared" si="0"/>
        <v>9.92</v>
      </c>
    </row>
    <row r="15" spans="2:6" x14ac:dyDescent="0.25">
      <c r="B15" s="1" t="s">
        <v>60</v>
      </c>
      <c r="C15" s="1"/>
      <c r="D15" s="1">
        <v>4.8</v>
      </c>
      <c r="E15" s="1">
        <v>5.4</v>
      </c>
      <c r="F15" s="1">
        <f t="shared" si="0"/>
        <v>10.199999999999999</v>
      </c>
    </row>
    <row r="16" spans="2:6" x14ac:dyDescent="0.25">
      <c r="B16" s="1" t="s">
        <v>52</v>
      </c>
      <c r="C16" s="1"/>
      <c r="D16" s="1"/>
      <c r="E16" s="1">
        <v>91.3</v>
      </c>
      <c r="F16" s="1">
        <f t="shared" si="0"/>
        <v>91.3</v>
      </c>
    </row>
    <row r="17" spans="2:6" x14ac:dyDescent="0.25">
      <c r="B17" s="1" t="s">
        <v>61</v>
      </c>
      <c r="C17" s="1"/>
      <c r="D17" s="1">
        <v>12.69</v>
      </c>
      <c r="E17" s="1">
        <v>5.76</v>
      </c>
      <c r="F17" s="1">
        <f t="shared" si="0"/>
        <v>18.45</v>
      </c>
    </row>
    <row r="18" spans="2:6" x14ac:dyDescent="0.25">
      <c r="B18" s="7"/>
      <c r="C18" s="7">
        <f>SUM(C5:C17)</f>
        <v>10.1</v>
      </c>
      <c r="D18" s="7">
        <f>SUM(D5:D17)</f>
        <v>98.749999999999986</v>
      </c>
      <c r="E18" s="7">
        <f>SUM(E5:E17)</f>
        <v>179.5</v>
      </c>
      <c r="F18" s="7">
        <f>SUM(F5:F17)</f>
        <v>288.34999999999997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4:F32"/>
  <sheetViews>
    <sheetView topLeftCell="A13" workbookViewId="0">
      <selection activeCell="E27" sqref="E27"/>
    </sheetView>
  </sheetViews>
  <sheetFormatPr baseColWidth="10" defaultRowHeight="15.75" x14ac:dyDescent="0.25"/>
  <cols>
    <col min="2" max="2" width="27.375" customWidth="1"/>
  </cols>
  <sheetData>
    <row r="4" spans="2:6" x14ac:dyDescent="0.25">
      <c r="B4" s="5" t="s">
        <v>3</v>
      </c>
      <c r="C4" s="2" t="s">
        <v>0</v>
      </c>
      <c r="D4" s="3" t="s">
        <v>1</v>
      </c>
      <c r="E4" s="4" t="s">
        <v>2</v>
      </c>
      <c r="F4" s="6" t="s">
        <v>8</v>
      </c>
    </row>
    <row r="5" spans="2:6" x14ac:dyDescent="0.25">
      <c r="B5" s="1" t="s">
        <v>64</v>
      </c>
      <c r="C5" s="1">
        <v>3.6</v>
      </c>
      <c r="D5" s="1"/>
      <c r="E5" s="1"/>
      <c r="F5" s="1">
        <f>C5+D5+E5</f>
        <v>3.6</v>
      </c>
    </row>
    <row r="6" spans="2:6" x14ac:dyDescent="0.25">
      <c r="B6" s="1" t="s">
        <v>65</v>
      </c>
      <c r="C6" s="1">
        <v>1.49</v>
      </c>
      <c r="D6" s="1"/>
      <c r="E6" s="1"/>
      <c r="F6" s="1">
        <f t="shared" ref="F6:F31" si="0">C6+D6+E6</f>
        <v>1.49</v>
      </c>
    </row>
    <row r="7" spans="2:6" x14ac:dyDescent="0.25">
      <c r="B7" s="1" t="s">
        <v>65</v>
      </c>
      <c r="C7" s="1">
        <v>1.54</v>
      </c>
      <c r="D7" s="1"/>
      <c r="E7" s="1"/>
      <c r="F7" s="1">
        <f t="shared" si="0"/>
        <v>1.54</v>
      </c>
    </row>
    <row r="8" spans="2:6" x14ac:dyDescent="0.25">
      <c r="B8" s="1" t="s">
        <v>66</v>
      </c>
      <c r="C8" s="1">
        <v>1.59</v>
      </c>
      <c r="D8" s="1"/>
      <c r="E8" s="1"/>
      <c r="F8" s="1">
        <f t="shared" si="0"/>
        <v>1.59</v>
      </c>
    </row>
    <row r="9" spans="2:6" x14ac:dyDescent="0.25">
      <c r="B9" s="1" t="s">
        <v>68</v>
      </c>
      <c r="C9" s="1"/>
      <c r="D9" s="1">
        <v>14.39</v>
      </c>
      <c r="E9" s="1">
        <v>16.2</v>
      </c>
      <c r="F9" s="1">
        <f t="shared" si="0"/>
        <v>30.59</v>
      </c>
    </row>
    <row r="10" spans="2:6" x14ac:dyDescent="0.25">
      <c r="B10" s="1" t="s">
        <v>30</v>
      </c>
      <c r="C10" s="1"/>
      <c r="D10" s="1">
        <v>1.67</v>
      </c>
      <c r="E10" s="1"/>
      <c r="F10" s="1">
        <f t="shared" si="0"/>
        <v>1.67</v>
      </c>
    </row>
    <row r="11" spans="2:6" x14ac:dyDescent="0.25">
      <c r="B11" s="1" t="s">
        <v>67</v>
      </c>
      <c r="C11" s="1"/>
      <c r="D11" s="1">
        <v>2.2400000000000002</v>
      </c>
      <c r="E11" s="1"/>
      <c r="F11" s="1">
        <f t="shared" si="0"/>
        <v>2.2400000000000002</v>
      </c>
    </row>
    <row r="12" spans="2:6" x14ac:dyDescent="0.25">
      <c r="B12" s="1" t="s">
        <v>69</v>
      </c>
      <c r="C12" s="1"/>
      <c r="D12" s="1">
        <v>3.22</v>
      </c>
      <c r="E12" s="1">
        <v>1.08</v>
      </c>
      <c r="F12" s="1">
        <f t="shared" si="0"/>
        <v>4.3000000000000007</v>
      </c>
    </row>
    <row r="13" spans="2:6" x14ac:dyDescent="0.25">
      <c r="B13" s="1" t="s">
        <v>65</v>
      </c>
      <c r="C13" s="1">
        <v>3.01</v>
      </c>
      <c r="D13" s="1"/>
      <c r="E13" s="1"/>
      <c r="F13" s="1">
        <f t="shared" si="0"/>
        <v>3.01</v>
      </c>
    </row>
    <row r="14" spans="2:6" x14ac:dyDescent="0.25">
      <c r="B14" s="1" t="s">
        <v>70</v>
      </c>
      <c r="C14" s="1"/>
      <c r="D14" s="1">
        <v>12.44</v>
      </c>
      <c r="E14" s="1">
        <v>16.440000000000001</v>
      </c>
      <c r="F14" s="1">
        <f t="shared" si="0"/>
        <v>28.880000000000003</v>
      </c>
    </row>
    <row r="15" spans="2:6" x14ac:dyDescent="0.25">
      <c r="B15" s="1" t="s">
        <v>71</v>
      </c>
      <c r="C15" s="1"/>
      <c r="D15" s="1">
        <v>11.9</v>
      </c>
      <c r="E15" s="1">
        <v>20.16</v>
      </c>
      <c r="F15" s="1">
        <f t="shared" si="0"/>
        <v>32.06</v>
      </c>
    </row>
    <row r="16" spans="2:6" x14ac:dyDescent="0.25">
      <c r="B16" s="1" t="s">
        <v>10</v>
      </c>
      <c r="C16" s="1"/>
      <c r="D16" s="1">
        <v>8.6999999999999993</v>
      </c>
      <c r="E16" s="1">
        <v>6.48</v>
      </c>
      <c r="F16" s="1">
        <f t="shared" si="0"/>
        <v>15.18</v>
      </c>
    </row>
    <row r="17" spans="2:6" x14ac:dyDescent="0.25">
      <c r="B17" s="1" t="s">
        <v>72</v>
      </c>
      <c r="C17" s="1"/>
      <c r="D17" s="1">
        <v>33.6</v>
      </c>
      <c r="E17" s="1">
        <v>29.52</v>
      </c>
      <c r="F17" s="1">
        <f t="shared" si="0"/>
        <v>63.120000000000005</v>
      </c>
    </row>
    <row r="18" spans="2:6" x14ac:dyDescent="0.25">
      <c r="B18" s="1" t="s">
        <v>73</v>
      </c>
      <c r="C18" s="1"/>
      <c r="D18" s="1">
        <v>10.29</v>
      </c>
      <c r="E18" s="1"/>
      <c r="F18" s="1">
        <f t="shared" si="0"/>
        <v>10.29</v>
      </c>
    </row>
    <row r="19" spans="2:6" x14ac:dyDescent="0.25">
      <c r="B19" s="1" t="s">
        <v>10</v>
      </c>
      <c r="C19" s="1"/>
      <c r="D19" s="1">
        <v>6.35</v>
      </c>
      <c r="E19" s="1">
        <v>10.8</v>
      </c>
      <c r="F19" s="1">
        <f t="shared" si="0"/>
        <v>17.149999999999999</v>
      </c>
    </row>
    <row r="20" spans="2:6" x14ac:dyDescent="0.25">
      <c r="B20" s="1" t="s">
        <v>74</v>
      </c>
      <c r="C20" s="1">
        <v>4.93</v>
      </c>
      <c r="D20" s="1"/>
      <c r="E20" s="1"/>
      <c r="F20" s="1">
        <f t="shared" si="0"/>
        <v>4.93</v>
      </c>
    </row>
    <row r="21" spans="2:6" x14ac:dyDescent="0.25">
      <c r="B21" s="1" t="s">
        <v>75</v>
      </c>
      <c r="C21" s="1"/>
      <c r="D21" s="1">
        <v>12.33</v>
      </c>
      <c r="E21" s="1">
        <v>9</v>
      </c>
      <c r="F21" s="1">
        <f t="shared" si="0"/>
        <v>21.33</v>
      </c>
    </row>
    <row r="22" spans="2:6" x14ac:dyDescent="0.25">
      <c r="B22" s="1" t="s">
        <v>76</v>
      </c>
      <c r="C22" s="1"/>
      <c r="D22" s="1">
        <v>7.1</v>
      </c>
      <c r="E22" s="1">
        <v>6.48</v>
      </c>
      <c r="F22" s="1">
        <f t="shared" si="0"/>
        <v>13.58</v>
      </c>
    </row>
    <row r="23" spans="2:6" x14ac:dyDescent="0.25">
      <c r="B23" s="1" t="s">
        <v>28</v>
      </c>
      <c r="C23" s="1"/>
      <c r="D23" s="1">
        <v>3.08</v>
      </c>
      <c r="E23" s="1"/>
      <c r="F23" s="1">
        <f t="shared" si="0"/>
        <v>3.08</v>
      </c>
    </row>
    <row r="24" spans="2:6" x14ac:dyDescent="0.25">
      <c r="B24" s="1" t="s">
        <v>77</v>
      </c>
      <c r="C24" s="1"/>
      <c r="D24" s="1">
        <v>6.28</v>
      </c>
      <c r="E24" s="1">
        <v>8.64</v>
      </c>
      <c r="F24" s="1">
        <f t="shared" si="0"/>
        <v>14.920000000000002</v>
      </c>
    </row>
    <row r="25" spans="2:6" x14ac:dyDescent="0.25">
      <c r="B25" s="1"/>
      <c r="C25" s="1"/>
      <c r="D25" s="1"/>
      <c r="E25" s="1"/>
      <c r="F25" s="1">
        <f t="shared" si="0"/>
        <v>0</v>
      </c>
    </row>
    <row r="26" spans="2:6" x14ac:dyDescent="0.25">
      <c r="B26" s="1"/>
      <c r="C26" s="1"/>
      <c r="D26" s="1"/>
      <c r="E26" s="1"/>
      <c r="F26" s="1">
        <f t="shared" si="0"/>
        <v>0</v>
      </c>
    </row>
    <row r="27" spans="2:6" x14ac:dyDescent="0.25">
      <c r="B27" s="1"/>
      <c r="C27" s="1"/>
      <c r="D27" s="1"/>
      <c r="E27" s="1"/>
      <c r="F27" s="1">
        <f t="shared" si="0"/>
        <v>0</v>
      </c>
    </row>
    <row r="28" spans="2:6" x14ac:dyDescent="0.25">
      <c r="B28" s="1"/>
      <c r="C28" s="1"/>
      <c r="D28" s="1"/>
      <c r="E28" s="1"/>
      <c r="F28" s="1">
        <f t="shared" si="0"/>
        <v>0</v>
      </c>
    </row>
    <row r="29" spans="2:6" x14ac:dyDescent="0.25">
      <c r="B29" s="1"/>
      <c r="C29" s="1"/>
      <c r="D29" s="1"/>
      <c r="E29" s="1"/>
      <c r="F29" s="1">
        <f t="shared" si="0"/>
        <v>0</v>
      </c>
    </row>
    <row r="30" spans="2:6" x14ac:dyDescent="0.25">
      <c r="B30" s="1"/>
      <c r="C30" s="1"/>
      <c r="D30" s="1"/>
      <c r="E30" s="1"/>
      <c r="F30" s="1">
        <f t="shared" si="0"/>
        <v>0</v>
      </c>
    </row>
    <row r="31" spans="2:6" x14ac:dyDescent="0.25">
      <c r="B31" s="1"/>
      <c r="C31" s="1"/>
      <c r="D31" s="1"/>
      <c r="E31" s="1"/>
      <c r="F31" s="1">
        <f t="shared" si="0"/>
        <v>0</v>
      </c>
    </row>
    <row r="32" spans="2:6" x14ac:dyDescent="0.25">
      <c r="B32" s="7"/>
      <c r="C32" s="7">
        <f>SUM(C5:C31)</f>
        <v>16.16</v>
      </c>
      <c r="D32" s="7">
        <f>SUM(D5:D31)</f>
        <v>133.58999999999997</v>
      </c>
      <c r="E32" s="7">
        <f>SUM(E5:E31)</f>
        <v>124.8</v>
      </c>
      <c r="F32" s="7">
        <f>SUM(F5:F31)</f>
        <v>274.55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5"/>
  <sheetViews>
    <sheetView workbookViewId="0">
      <selection activeCell="D6" sqref="D6"/>
    </sheetView>
  </sheetViews>
  <sheetFormatPr baseColWidth="10" defaultRowHeight="15.75" x14ac:dyDescent="0.25"/>
  <sheetData>
    <row r="1" spans="1:4" x14ac:dyDescent="0.25">
      <c r="A1" t="s">
        <v>78</v>
      </c>
    </row>
    <row r="4" spans="1:4" x14ac:dyDescent="0.25">
      <c r="A4" s="2" t="s">
        <v>0</v>
      </c>
      <c r="B4" s="3" t="s">
        <v>1</v>
      </c>
      <c r="C4" s="4" t="s">
        <v>2</v>
      </c>
      <c r="D4" s="6" t="s">
        <v>8</v>
      </c>
    </row>
    <row r="5" spans="1:4" x14ac:dyDescent="0.25">
      <c r="A5">
        <f>+RDC!D39+'1E ETAGE'!C34+'2E ETAGE'!C18+'3E ETAGE'!C32</f>
        <v>74.94</v>
      </c>
      <c r="B5">
        <f>+RDC!E39+'1E ETAGE'!D34+'2E ETAGE'!D18+'3E ETAGE'!D32</f>
        <v>509.35999999999996</v>
      </c>
      <c r="C5">
        <f>+RDC!F39+'1E ETAGE'!E34+'2E ETAGE'!E18+'3E ETAGE'!E32</f>
        <v>745.24</v>
      </c>
      <c r="D5">
        <f>+C5+B5+A5</f>
        <v>1329.54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5</vt:i4>
      </vt:variant>
    </vt:vector>
  </HeadingPairs>
  <TitlesOfParts>
    <vt:vector size="5" baseType="lpstr">
      <vt:lpstr>RDC</vt:lpstr>
      <vt:lpstr>1E ETAGE</vt:lpstr>
      <vt:lpstr>2E ETAGE</vt:lpstr>
      <vt:lpstr>3E ETAGE</vt:lpstr>
      <vt:lpstr>Récap R+3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gnamichael@gmail.com</dc:creator>
  <cp:lastModifiedBy>JAWAD</cp:lastModifiedBy>
  <dcterms:created xsi:type="dcterms:W3CDTF">2021-03-17T08:55:04Z</dcterms:created>
  <dcterms:modified xsi:type="dcterms:W3CDTF">2021-03-22T11:48:54Z</dcterms:modified>
</cp:coreProperties>
</file>