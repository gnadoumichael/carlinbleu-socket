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ARTAGE ECM\PROJETS\S.E.G\TOUR ENTENTE\Devis\Offre MAJ - AVRIL 2023\"/>
    </mc:Choice>
  </mc:AlternateContent>
  <bookViews>
    <workbookView xWindow="0" yWindow="0" windowWidth="20490" windowHeight="7755"/>
  </bookViews>
  <sheets>
    <sheet name="FAUX PLAFONDS" sheetId="1" r:id="rId1"/>
    <sheet name="Feuil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MDP11">#REF!</definedName>
    <definedName name="ACOMPTE">[1]Recap!$D$18</definedName>
    <definedName name="Coeff_Majoration_CM">'[2]Charpente métallique'!#REF!</definedName>
    <definedName name="Coefficient_de_majoration_global_hors_terrassement">'[3]Hypothèses générales'!$B$8</definedName>
    <definedName name="Coefficient_de_majoration_global_terrassement">'[3]Hypothèses générales'!$B$9</definedName>
    <definedName name="d">'[4]Hypothèses générales'!$C$24</definedName>
    <definedName name="Débord_BP_fondations">'[3]Hypothèses générales'!$C$24</definedName>
    <definedName name="df">#REF!</definedName>
    <definedName name="Ep_Bp">[2]Longrines!$J$1</definedName>
    <definedName name="EpAI_bp">[2]Semelles!$I$1</definedName>
    <definedName name="fdg">'[4]Hypothèses générales'!$C$26</definedName>
    <definedName name="ggg">'[4]Hypothèses générales'!$B$18</definedName>
    <definedName name="Hauteur_Fouilles_sous_dallage_sous_sol">'[3]Hypothèses générales'!$B$18</definedName>
    <definedName name="Hauteur_fut_poteau_voile_sous_sol">'[3]Hypothèses générales'!$C$26</definedName>
    <definedName name="_xlnm.Print_Titles" localSheetId="0">'FAUX PLAFONDS'!$1:$5</definedName>
    <definedName name="MDP">#REF!</definedName>
    <definedName name="Nombre">'[5]Chèque lettre'!$B$5</definedName>
    <definedName name="Pourcentage_de_rocher_dans_le_sol">'[3]Hypothèses générales'!$B$20</definedName>
    <definedName name="PRIX_UNITAIRES">#REF!</definedName>
    <definedName name="s">'[4]Hypothèses générales'!$B$9</definedName>
    <definedName name="z">#REF!</definedName>
    <definedName name="_xlnm.Print_Area" localSheetId="0">'FAUX PLAFONDS'!$A$1:$H$118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11" i="1" l="1"/>
  <c r="H110" i="1" s="1"/>
  <c r="E111" i="1"/>
  <c r="D61" i="1" l="1"/>
  <c r="H61" i="1" s="1"/>
  <c r="D60" i="1"/>
  <c r="H60" i="1" s="1"/>
  <c r="D59" i="1"/>
  <c r="H59" i="1" s="1"/>
  <c r="D57" i="1"/>
  <c r="H57" i="1" s="1"/>
  <c r="H58" i="1"/>
  <c r="D54" i="1"/>
  <c r="D53" i="1"/>
  <c r="H53" i="1" s="1"/>
  <c r="D51" i="1"/>
  <c r="H51" i="1" s="1"/>
  <c r="H55" i="1"/>
  <c r="H52" i="1"/>
  <c r="D48" i="1"/>
  <c r="H48" i="1" s="1"/>
  <c r="D47" i="1"/>
  <c r="H47" i="1" s="1"/>
  <c r="D45" i="1"/>
  <c r="H49" i="1"/>
  <c r="H46" i="1"/>
  <c r="D41" i="1"/>
  <c r="H41" i="1" s="1"/>
  <c r="H43" i="1"/>
  <c r="H42" i="1"/>
  <c r="H40" i="1"/>
  <c r="H39" i="1"/>
  <c r="D35" i="1"/>
  <c r="H35" i="1" s="1"/>
  <c r="H37" i="1"/>
  <c r="H36" i="1"/>
  <c r="H34" i="1"/>
  <c r="H33" i="1"/>
  <c r="D29" i="1"/>
  <c r="H29" i="1" s="1"/>
  <c r="H31" i="1"/>
  <c r="H30" i="1"/>
  <c r="H28" i="1"/>
  <c r="H27" i="1"/>
  <c r="D23" i="1"/>
  <c r="H23" i="1" s="1"/>
  <c r="H25" i="1"/>
  <c r="H24" i="1"/>
  <c r="H22" i="1"/>
  <c r="H21" i="1"/>
  <c r="D17" i="1"/>
  <c r="H17" i="1" s="1"/>
  <c r="H19" i="1"/>
  <c r="H18" i="1"/>
  <c r="H16" i="1"/>
  <c r="H15" i="1"/>
  <c r="H106" i="1"/>
  <c r="H105" i="1"/>
  <c r="H100" i="1"/>
  <c r="H99" i="1"/>
  <c r="H94" i="1"/>
  <c r="H93" i="1"/>
  <c r="H88" i="1"/>
  <c r="H87" i="1"/>
  <c r="H82" i="1"/>
  <c r="H81" i="1"/>
  <c r="H76" i="1"/>
  <c r="H75" i="1"/>
  <c r="H70" i="1"/>
  <c r="H69" i="1"/>
  <c r="H64" i="1"/>
  <c r="H63" i="1"/>
  <c r="H45" i="1" l="1"/>
  <c r="B6" i="2"/>
  <c r="H54" i="1"/>
  <c r="H20" i="1"/>
  <c r="H32" i="1"/>
  <c r="H38" i="1"/>
  <c r="H56" i="1"/>
  <c r="H50" i="1"/>
  <c r="H44" i="1"/>
  <c r="H26" i="1"/>
  <c r="H14" i="1"/>
  <c r="D109" i="1"/>
  <c r="H109" i="1" s="1"/>
  <c r="D108" i="1"/>
  <c r="H108" i="1" s="1"/>
  <c r="D107" i="1"/>
  <c r="D103" i="1"/>
  <c r="H103" i="1" s="1"/>
  <c r="D102" i="1"/>
  <c r="H102" i="1" s="1"/>
  <c r="D101" i="1"/>
  <c r="H101" i="1" s="1"/>
  <c r="D97" i="1"/>
  <c r="H97" i="1" s="1"/>
  <c r="D96" i="1"/>
  <c r="H96" i="1" s="1"/>
  <c r="D95" i="1"/>
  <c r="H95" i="1" s="1"/>
  <c r="D91" i="1"/>
  <c r="H91" i="1" s="1"/>
  <c r="D90" i="1"/>
  <c r="H90" i="1" s="1"/>
  <c r="D89" i="1"/>
  <c r="H89" i="1" s="1"/>
  <c r="D85" i="1"/>
  <c r="H85" i="1" s="1"/>
  <c r="D84" i="1"/>
  <c r="H84" i="1" s="1"/>
  <c r="D83" i="1"/>
  <c r="H83" i="1" s="1"/>
  <c r="D79" i="1"/>
  <c r="H79" i="1" s="1"/>
  <c r="D78" i="1"/>
  <c r="H78" i="1" s="1"/>
  <c r="D77" i="1"/>
  <c r="H77" i="1" s="1"/>
  <c r="D73" i="1"/>
  <c r="H73" i="1" s="1"/>
  <c r="D72" i="1"/>
  <c r="H72" i="1" s="1"/>
  <c r="D71" i="1"/>
  <c r="H71" i="1" s="1"/>
  <c r="D67" i="1"/>
  <c r="H67" i="1" s="1"/>
  <c r="D66" i="1"/>
  <c r="H66" i="1" s="1"/>
  <c r="D65" i="1"/>
  <c r="H65" i="1" s="1"/>
  <c r="B7" i="2" l="1"/>
  <c r="H107" i="1"/>
  <c r="B8" i="2"/>
  <c r="H62" i="1"/>
  <c r="H68" i="1"/>
  <c r="H74" i="1"/>
  <c r="H80" i="1"/>
  <c r="H86" i="1"/>
  <c r="H92" i="1"/>
  <c r="H104" i="1"/>
  <c r="H98" i="1"/>
  <c r="H112" i="1" l="1"/>
  <c r="D115" i="1"/>
  <c r="H115" i="1" s="1"/>
  <c r="H114" i="1" l="1"/>
  <c r="H13" i="1"/>
  <c r="H12" i="1"/>
  <c r="H11" i="1"/>
</calcChain>
</file>

<file path=xl/sharedStrings.xml><?xml version="1.0" encoding="utf-8"?>
<sst xmlns="http://schemas.openxmlformats.org/spreadsheetml/2006/main" count="309" uniqueCount="71">
  <si>
    <t xml:space="preserve">TOUR ENTENTE - PLATEAU-ABIDJAN </t>
  </si>
  <si>
    <t xml:space="preserve">DEVIS QUANTITATIF ESTIMATIF </t>
  </si>
  <si>
    <t>LOT 5- FINITIONS</t>
  </si>
  <si>
    <t>N° Art.</t>
  </si>
  <si>
    <t>DESIGNATION</t>
  </si>
  <si>
    <t>U.</t>
  </si>
  <si>
    <t>QTE</t>
  </si>
  <si>
    <t>le mètre carré</t>
  </si>
  <si>
    <t>M2</t>
  </si>
  <si>
    <t>200 - FAUX PLAFOND</t>
  </si>
  <si>
    <t>200.01</t>
  </si>
  <si>
    <t>a) sur plafond et Paillasse Escaliers (03)</t>
  </si>
  <si>
    <t>b) sur murs peint type (07)</t>
  </si>
  <si>
    <t>Enduit ciment</t>
  </si>
  <si>
    <t>R+20</t>
  </si>
  <si>
    <t>ml</t>
  </si>
  <si>
    <t>R+3 à R+13</t>
  </si>
  <si>
    <t>R+21</t>
  </si>
  <si>
    <t>POUR MÉMOIRE</t>
  </si>
  <si>
    <r>
      <t xml:space="preserve">Jouées Verticales type BA13 sur façade Mur rideau </t>
    </r>
    <r>
      <rPr>
        <sz val="11"/>
        <color rgb="FFFF0000"/>
        <rFont val="Arial"/>
        <family val="2"/>
      </rPr>
      <t>PM: Sur la base d'une hauteur de Joue de 50cm</t>
    </r>
  </si>
  <si>
    <t>TOTAL FAUX PLAFOND - HT/HD - FCFA</t>
  </si>
  <si>
    <r>
      <t xml:space="preserve">PU Total -  CFA </t>
    </r>
    <r>
      <rPr>
        <b/>
        <sz val="11"/>
        <color rgb="FFFF0000"/>
        <rFont val="Arial"/>
        <family val="2"/>
      </rPr>
      <t xml:space="preserve"> HT/HD</t>
    </r>
  </si>
  <si>
    <t>PU Fourniture - CFA HT/HD</t>
  </si>
  <si>
    <t>PU Pose - CFA HT</t>
  </si>
  <si>
    <t>Montant CFA  HT/HD</t>
  </si>
  <si>
    <r>
      <t xml:space="preserve">Faux plafond PALIER BUREAUX - </t>
    </r>
    <r>
      <rPr>
        <b/>
        <i/>
        <u/>
        <sz val="11"/>
        <color rgb="FF7030A0"/>
        <rFont val="Arial"/>
        <family val="2"/>
      </rPr>
      <t xml:space="preserve">R+3 </t>
    </r>
  </si>
  <si>
    <t>C4</t>
  </si>
  <si>
    <t>C5</t>
  </si>
  <si>
    <t>C6</t>
  </si>
  <si>
    <t>Faux-plafond modulaire en laine minérale avec plages de correction BA13</t>
  </si>
  <si>
    <t>C7</t>
  </si>
  <si>
    <t>C8</t>
  </si>
  <si>
    <t>Fourniture et pose de faux-plafond BA13 Décoratif</t>
  </si>
  <si>
    <t>Fourniture et pose de faux-plafond en BA13 Hydrofuge</t>
  </si>
  <si>
    <t>Fourniture et pose de faux-plafond en plaques de ciment</t>
  </si>
  <si>
    <t>Fourniture et pose de faux-plafond BA13 Lisse</t>
  </si>
  <si>
    <r>
      <t xml:space="preserve">Faux plafond PALIER BUREAUX - </t>
    </r>
    <r>
      <rPr>
        <b/>
        <i/>
        <u/>
        <sz val="11"/>
        <color rgb="FF7030A0"/>
        <rFont val="Arial"/>
        <family val="2"/>
      </rPr>
      <t>R+4 - R+11</t>
    </r>
  </si>
  <si>
    <r>
      <t xml:space="preserve">Faux plafond PALIER BUREAUX - </t>
    </r>
    <r>
      <rPr>
        <b/>
        <i/>
        <u/>
        <sz val="11"/>
        <color rgb="FF7030A0"/>
        <rFont val="Arial"/>
        <family val="2"/>
      </rPr>
      <t>R+12</t>
    </r>
  </si>
  <si>
    <r>
      <t xml:space="preserve">Faux plafond PALIER BUREAUX - </t>
    </r>
    <r>
      <rPr>
        <b/>
        <i/>
        <u/>
        <sz val="11"/>
        <color rgb="FF7030A0"/>
        <rFont val="Arial"/>
        <family val="2"/>
      </rPr>
      <t>R+13 - R+18</t>
    </r>
  </si>
  <si>
    <r>
      <t xml:space="preserve">Faux plafond PALIER BUREAUX - </t>
    </r>
    <r>
      <rPr>
        <b/>
        <i/>
        <u/>
        <sz val="11"/>
        <color rgb="FF7030A0"/>
        <rFont val="Arial"/>
        <family val="2"/>
      </rPr>
      <t>R+19</t>
    </r>
  </si>
  <si>
    <r>
      <t xml:space="preserve">Faux plafond PALIER BUREAUX - </t>
    </r>
    <r>
      <rPr>
        <b/>
        <i/>
        <u/>
        <sz val="11"/>
        <color rgb="FF7030A0"/>
        <rFont val="Arial"/>
        <family val="2"/>
      </rPr>
      <t>R+20</t>
    </r>
  </si>
  <si>
    <r>
      <t xml:space="preserve">Faux plafond PALIER BUREAUX - </t>
    </r>
    <r>
      <rPr>
        <b/>
        <i/>
        <u/>
        <sz val="11"/>
        <color rgb="FF7030A0"/>
        <rFont val="Arial"/>
        <family val="2"/>
      </rPr>
      <t>R+21</t>
    </r>
  </si>
  <si>
    <r>
      <t xml:space="preserve">Faux plafond PALIER BUREAUX - </t>
    </r>
    <r>
      <rPr>
        <b/>
        <i/>
        <u/>
        <sz val="11"/>
        <color rgb="FF7030A0"/>
        <rFont val="Arial"/>
        <family val="2"/>
      </rPr>
      <t>R+22</t>
    </r>
  </si>
  <si>
    <t>Faux plafond PALIER BUREAUX - P SS3</t>
  </si>
  <si>
    <t>Faux plafond PALIER BUREAUX - P SS2</t>
  </si>
  <si>
    <t>Faux plafond PALIER BUREAUX - P SS1</t>
  </si>
  <si>
    <t>Faux plafond PALIER BUREAUX - RDC BAS</t>
  </si>
  <si>
    <t>Faux plafond PALIER BUREAUX - RDC HAUT</t>
  </si>
  <si>
    <t>Faux plafond PALIER BUREAUX - RDC LOBBY BUREAUX</t>
  </si>
  <si>
    <t>Faux plafond PALIER BUREAUX - R+1</t>
  </si>
  <si>
    <t>Faux plafond PALIER BUREAUX - R+2</t>
  </si>
  <si>
    <t>R+22</t>
  </si>
  <si>
    <t>Trappes de visites</t>
  </si>
  <si>
    <t>Trappe de Visite 60x60</t>
  </si>
  <si>
    <t>U</t>
  </si>
  <si>
    <t>P SS3</t>
  </si>
  <si>
    <t>P SS2</t>
  </si>
  <si>
    <t>P SS1</t>
  </si>
  <si>
    <t>RDC BAS</t>
  </si>
  <si>
    <t>RDC HAUT</t>
  </si>
  <si>
    <t>RDC LOBBY BUREAUX</t>
  </si>
  <si>
    <t>R+1</t>
  </si>
  <si>
    <t>R+2</t>
  </si>
  <si>
    <t>R+3</t>
  </si>
  <si>
    <t>R+4 - R+11</t>
  </si>
  <si>
    <t>R+12</t>
  </si>
  <si>
    <t>R+13 - R+18</t>
  </si>
  <si>
    <t>R+19</t>
  </si>
  <si>
    <t>BA13 Standard</t>
  </si>
  <si>
    <t>BA13 Hydro</t>
  </si>
  <si>
    <t>60x60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</si>
</sst>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-* #,##0\ _F_-;\-* #,##0\ _F_-;_-* &quot;-&quot;??\ _F_-;_-@_-"/>
    <numFmt numFmtId="166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7030A0"/>
      <name val="Arial"/>
      <family val="2"/>
    </font>
    <font>
      <sz val="11"/>
      <name val="Arial"/>
      <family val="2"/>
    </font>
    <font>
      <sz val="11"/>
      <color rgb="FF7030A0"/>
      <name val="Arial"/>
      <family val="2"/>
    </font>
    <font>
      <b/>
      <u/>
      <sz val="11"/>
      <color rgb="FF7030A0"/>
      <name val="Arial"/>
      <family val="2"/>
    </font>
    <font>
      <u/>
      <sz val="11"/>
      <color rgb="FF7030A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i/>
      <u/>
      <sz val="11"/>
      <color rgb="FF7030A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3" xfId="0" applyFont="1" applyBorder="1" applyAlignment="1">
      <alignment horizontal="center" vertical="center" wrapText="1"/>
    </xf>
    <xf numFmtId="165" fontId="2" fillId="0" borderId="3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6" fontId="4" fillId="0" borderId="4" xfId="1" applyNumberFormat="1" applyFont="1" applyFill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166" fontId="4" fillId="0" borderId="5" xfId="1" applyNumberFormat="1" applyFont="1" applyFill="1" applyBorder="1" applyAlignment="1">
      <alignment horizontal="center" vertical="top"/>
    </xf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6" xfId="0" applyFont="1" applyBorder="1" applyAlignment="1">
      <alignment horizontal="center" vertical="top"/>
    </xf>
    <xf numFmtId="0" fontId="7" fillId="0" borderId="0" xfId="0" applyFont="1" applyAlignment="1">
      <alignment vertical="top"/>
    </xf>
    <xf numFmtId="164" fontId="2" fillId="0" borderId="3" xfId="1" applyFont="1" applyFill="1" applyBorder="1" applyAlignment="1">
      <alignment horizontal="center" vertical="center" wrapText="1"/>
    </xf>
    <xf numFmtId="164" fontId="4" fillId="0" borderId="4" xfId="1" applyFont="1" applyFill="1" applyBorder="1" applyAlignment="1">
      <alignment horizontal="center" vertical="top"/>
    </xf>
    <xf numFmtId="164" fontId="4" fillId="0" borderId="5" xfId="1" applyFont="1" applyFill="1" applyBorder="1" applyAlignment="1">
      <alignment horizontal="center" vertical="top"/>
    </xf>
    <xf numFmtId="164" fontId="4" fillId="0" borderId="0" xfId="1" applyFont="1" applyAlignment="1">
      <alignment vertical="top"/>
    </xf>
    <xf numFmtId="0" fontId="4" fillId="2" borderId="0" xfId="0" applyFont="1" applyFill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8" xfId="0" applyFont="1" applyFill="1" applyBorder="1" applyAlignment="1">
      <alignment horizontal="center" vertical="top"/>
    </xf>
    <xf numFmtId="164" fontId="4" fillId="2" borderId="8" xfId="1" applyFont="1" applyFill="1" applyBorder="1" applyAlignment="1">
      <alignment horizontal="center" vertical="top"/>
    </xf>
    <xf numFmtId="166" fontId="4" fillId="2" borderId="8" xfId="1" applyNumberFormat="1" applyFont="1" applyFill="1" applyBorder="1" applyAlignment="1">
      <alignment horizontal="center" vertical="top"/>
    </xf>
    <xf numFmtId="0" fontId="6" fillId="0" borderId="6" xfId="0" applyFont="1" applyBorder="1" applyAlignment="1">
      <alignment horizontal="left" vertical="top"/>
    </xf>
    <xf numFmtId="164" fontId="4" fillId="0" borderId="6" xfId="1" applyFont="1" applyFill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9" xfId="0" applyFont="1" applyFill="1" applyBorder="1" applyAlignment="1">
      <alignment horizontal="center" vertical="top"/>
    </xf>
    <xf numFmtId="164" fontId="4" fillId="2" borderId="9" xfId="1" applyFont="1" applyFill="1" applyBorder="1" applyAlignment="1">
      <alignment horizontal="center" vertical="top"/>
    </xf>
    <xf numFmtId="166" fontId="4" fillId="2" borderId="9" xfId="1" applyNumberFormat="1" applyFont="1" applyFill="1" applyBorder="1" applyAlignment="1">
      <alignment horizontal="center" vertical="top"/>
    </xf>
    <xf numFmtId="164" fontId="4" fillId="0" borderId="6" xfId="1" applyFont="1" applyBorder="1" applyAlignment="1">
      <alignment vertical="top"/>
    </xf>
    <xf numFmtId="0" fontId="0" fillId="0" borderId="6" xfId="0" applyBorder="1"/>
    <xf numFmtId="166" fontId="4" fillId="0" borderId="6" xfId="1" applyNumberFormat="1" applyFont="1" applyFill="1" applyBorder="1" applyAlignment="1">
      <alignment vertical="top"/>
    </xf>
    <xf numFmtId="0" fontId="4" fillId="2" borderId="6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vertical="top"/>
    </xf>
    <xf numFmtId="164" fontId="4" fillId="2" borderId="6" xfId="1" applyFont="1" applyFill="1" applyBorder="1" applyAlignment="1">
      <alignment horizontal="center" vertical="top"/>
    </xf>
    <xf numFmtId="166" fontId="4" fillId="2" borderId="6" xfId="1" applyNumberFormat="1" applyFont="1" applyFill="1" applyBorder="1" applyAlignment="1">
      <alignment horizontal="center" vertical="top"/>
    </xf>
    <xf numFmtId="166" fontId="8" fillId="2" borderId="8" xfId="1" applyNumberFormat="1" applyFont="1" applyFill="1" applyBorder="1" applyAlignment="1">
      <alignment horizontal="center" vertical="top"/>
    </xf>
    <xf numFmtId="166" fontId="8" fillId="2" borderId="6" xfId="1" applyNumberFormat="1" applyFont="1" applyFill="1" applyBorder="1" applyAlignment="1">
      <alignment horizontal="center" vertical="top"/>
    </xf>
    <xf numFmtId="0" fontId="4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horizontal="center" vertical="top"/>
    </xf>
    <xf numFmtId="164" fontId="4" fillId="2" borderId="5" xfId="1" applyFont="1" applyFill="1" applyBorder="1" applyAlignment="1">
      <alignment horizontal="center" vertical="top"/>
    </xf>
    <xf numFmtId="166" fontId="4" fillId="2" borderId="5" xfId="1" applyNumberFormat="1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top"/>
    </xf>
    <xf numFmtId="166" fontId="8" fillId="2" borderId="5" xfId="1" applyNumberFormat="1" applyFont="1" applyFill="1" applyBorder="1" applyAlignment="1">
      <alignment horizontal="center" vertical="top"/>
    </xf>
    <xf numFmtId="166" fontId="11" fillId="3" borderId="7" xfId="1" applyNumberFormat="1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center" vertical="top" wrapText="1"/>
    </xf>
    <xf numFmtId="0" fontId="12" fillId="0" borderId="6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4" fillId="0" borderId="6" xfId="1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11\Echange\Documents%20and%20Settings\admin\Mes%20documents\Downloads\med\mohamed%20bfrs\TRAVAUX%20RADEET\MARCHE%20N&#176;112-2008\ATTACHEMENT\OULAD%20AYAD%20Beni%20Moussa\Decompte%20n&#176;10%20et%20derni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gleb-my.sharepoint.com/Users/User/AppData/Local/Microsoft/Windows/INetCache/Content.Outlook/7KVW0RO0/Rev%201/From%20Paul%20-13-11-2018/CHR%20ABOISSO%20-%20%20GO%20-%20SEG%20Dry%20co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11\Echange\Documents%20and%20Settings\Administrateur\Bureau\DOSSIER%20FACAIL%20GENERAL\PROJET%20CALIFORNIA\EXEL%20PORJET%20CALEFORNIA\IMM%20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11\Echange\Users\METREUR2\AppData\Local\Temp\Documents%20and%20Settings\Administrateur\Bureau\DOSSIER%20FACAIL%20GENERAL\PROJET%20CALIFORNIA\EXEL%20PORJET%20CALEFORNIA\IMM%20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gleb-my.sharepoint.com/14.%20CHR%20ABOISSO/SEG/6.%20Payment%20Certificates/SEG-%20CLIENT/Exemples/Example%20AKW/DP30-AKW%20Matrice%20de%20Paiement%20Contrat%20R+3%2028-6-201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ARTAGE%20ECM/PROJETS/S.E.G/TOUR%20ENTENTE/Estimatifs%20Surfaces%20-%20MAJ%20AVRIL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ompte"/>
      <sheetName val="Recap"/>
    </sheetNames>
    <sheetDataSet>
      <sheetData sheetId="0"/>
      <sheetData sheetId="1">
        <row r="18">
          <cell r="D18">
            <v>520402.30800000019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GF - DCE"/>
      <sheetName val="Break down cost M Cloture "/>
      <sheetName val="Terrassements"/>
      <sheetName val="Gros Béton"/>
      <sheetName val="Semelles"/>
      <sheetName val="Fûts de poteaux"/>
      <sheetName val="Futs de voiles"/>
      <sheetName val="Longrines"/>
      <sheetName val="Arase Etanche"/>
      <sheetName val="Dallage"/>
      <sheetName val="Poteaux"/>
      <sheetName val="Poutres"/>
      <sheetName val="Dalles"/>
      <sheetName val="Maçonnerie et enduits"/>
      <sheetName val="Divers"/>
      <sheetName val="Charpente métallique"/>
      <sheetName val="Etanchéité"/>
    </sheetNames>
    <sheetDataSet>
      <sheetData sheetId="0">
        <row r="34">
          <cell r="K34">
            <v>2333.4749999999999</v>
          </cell>
        </row>
      </sheetData>
      <sheetData sheetId="1"/>
      <sheetData sheetId="2">
        <row r="21">
          <cell r="M21">
            <v>18704.399999999998</v>
          </cell>
        </row>
      </sheetData>
      <sheetData sheetId="3">
        <row r="9">
          <cell r="B9">
            <v>31.049999999999997</v>
          </cell>
        </row>
      </sheetData>
      <sheetData sheetId="4">
        <row r="1">
          <cell r="I1">
            <v>0.05</v>
          </cell>
        </row>
      </sheetData>
      <sheetData sheetId="5">
        <row r="999">
          <cell r="H999">
            <v>317.04019975020276</v>
          </cell>
        </row>
      </sheetData>
      <sheetData sheetId="6">
        <row r="6">
          <cell r="J6">
            <v>84.66</v>
          </cell>
        </row>
      </sheetData>
      <sheetData sheetId="7">
        <row r="1">
          <cell r="J1">
            <v>0.05</v>
          </cell>
        </row>
      </sheetData>
      <sheetData sheetId="8">
        <row r="463">
          <cell r="B463">
            <v>3772.3552999999929</v>
          </cell>
        </row>
      </sheetData>
      <sheetData sheetId="9">
        <row r="45">
          <cell r="D45">
            <v>13409</v>
          </cell>
        </row>
      </sheetData>
      <sheetData sheetId="10">
        <row r="990">
          <cell r="H990">
            <v>414.56788774740681</v>
          </cell>
        </row>
      </sheetData>
      <sheetData sheetId="11">
        <row r="1045">
          <cell r="H1045">
            <v>714.97177750000424</v>
          </cell>
        </row>
      </sheetData>
      <sheetData sheetId="12">
        <row r="53">
          <cell r="D53">
            <v>2821.4600000000005</v>
          </cell>
        </row>
      </sheetData>
      <sheetData sheetId="13">
        <row r="3297">
          <cell r="E3297">
            <v>38342.013207999917</v>
          </cell>
        </row>
      </sheetData>
      <sheetData sheetId="14">
        <row r="24">
          <cell r="H24">
            <v>874</v>
          </cell>
        </row>
      </sheetData>
      <sheetData sheetId="15">
        <row r="4">
          <cell r="E4">
            <v>681950</v>
          </cell>
        </row>
      </sheetData>
      <sheetData sheetId="16">
        <row r="1">
          <cell r="B1">
            <v>2653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 Immeuble Type D "/>
      <sheetName val="RECAPE Imm Type D - GO"/>
      <sheetName val="Hypothèses générales"/>
    </sheetNames>
    <sheetDataSet>
      <sheetData sheetId="0" refreshError="1"/>
      <sheetData sheetId="1" refreshError="1"/>
      <sheetData sheetId="2" refreshError="1">
        <row r="8">
          <cell r="B8">
            <v>1.1000000000000001</v>
          </cell>
        </row>
        <row r="9">
          <cell r="B9">
            <v>1.1000000000000001</v>
          </cell>
        </row>
        <row r="18">
          <cell r="B18">
            <v>0.4</v>
          </cell>
        </row>
        <row r="20">
          <cell r="B20">
            <v>0.45</v>
          </cell>
        </row>
        <row r="24">
          <cell r="C24">
            <v>0.05</v>
          </cell>
        </row>
        <row r="26">
          <cell r="C26">
            <v>0.5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 Immeuble Type D "/>
      <sheetName val="RECAPE Imm Type D - GO"/>
      <sheetName val="Hypothèses générales"/>
    </sheetNames>
    <sheetDataSet>
      <sheetData sheetId="0" refreshError="1"/>
      <sheetData sheetId="1" refreshError="1"/>
      <sheetData sheetId="2" refreshError="1">
        <row r="9">
          <cell r="B9">
            <v>1.1000000000000001</v>
          </cell>
        </row>
        <row r="18">
          <cell r="B18">
            <v>0.4</v>
          </cell>
        </row>
        <row r="24">
          <cell r="C24">
            <v>0.05</v>
          </cell>
        </row>
        <row r="26">
          <cell r="C26">
            <v>0.5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Avancement 290517"/>
      <sheetName val="Attach N°18"/>
      <sheetName val="Premiere Page"/>
      <sheetName val="Chèque lettre"/>
      <sheetName val="Der Page  HT"/>
      <sheetName val="Page de garde HT"/>
      <sheetName val="Feuil1"/>
    </sheetNames>
    <sheetDataSet>
      <sheetData sheetId="0">
        <row r="3">
          <cell r="Y3">
            <v>30</v>
          </cell>
        </row>
      </sheetData>
      <sheetData sheetId="1" refreshError="1"/>
      <sheetData sheetId="2">
        <row r="4">
          <cell r="B4" t="str">
            <v>Du 28/5/2018 AU 28/6/2018</v>
          </cell>
        </row>
      </sheetData>
      <sheetData sheetId="3">
        <row r="5">
          <cell r="B5" t="e">
            <v>#REF!</v>
          </cell>
        </row>
      </sheetData>
      <sheetData sheetId="4">
        <row r="21">
          <cell r="E21">
            <v>26913227.238235474</v>
          </cell>
        </row>
      </sheetData>
      <sheetData sheetId="5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PARKING"/>
      <sheetName val="PLAN BUREAUX"/>
    </sheetNames>
    <sheetDataSet>
      <sheetData sheetId="0"/>
      <sheetData sheetId="1">
        <row r="6">
          <cell r="E6">
            <v>6.08</v>
          </cell>
        </row>
        <row r="7">
          <cell r="E7">
            <v>31.939999999999998</v>
          </cell>
        </row>
        <row r="8">
          <cell r="E8">
            <v>0</v>
          </cell>
        </row>
        <row r="20">
          <cell r="E20">
            <v>48.64</v>
          </cell>
        </row>
        <row r="21">
          <cell r="E21">
            <v>255.51999999999998</v>
          </cell>
        </row>
        <row r="22">
          <cell r="E22">
            <v>0</v>
          </cell>
        </row>
        <row r="33">
          <cell r="E33">
            <v>6.08</v>
          </cell>
        </row>
        <row r="34">
          <cell r="E34">
            <v>31.939999999999998</v>
          </cell>
        </row>
        <row r="35">
          <cell r="E35">
            <v>0</v>
          </cell>
        </row>
        <row r="45">
          <cell r="E45">
            <v>36.480000000000004</v>
          </cell>
        </row>
        <row r="46">
          <cell r="E46">
            <v>191.64</v>
          </cell>
        </row>
        <row r="47">
          <cell r="E47">
            <v>0</v>
          </cell>
        </row>
        <row r="61">
          <cell r="E61">
            <v>6.08</v>
          </cell>
        </row>
        <row r="62">
          <cell r="E62">
            <v>31.939999999999998</v>
          </cell>
        </row>
        <row r="63">
          <cell r="E63">
            <v>0</v>
          </cell>
        </row>
        <row r="75">
          <cell r="E75">
            <v>6.08</v>
          </cell>
        </row>
        <row r="76">
          <cell r="E76">
            <v>31.939999999999998</v>
          </cell>
        </row>
        <row r="87">
          <cell r="E87">
            <v>6.08</v>
          </cell>
        </row>
        <row r="88">
          <cell r="E88">
            <v>31.939999999999998</v>
          </cell>
        </row>
        <row r="98">
          <cell r="E98">
            <v>6.08</v>
          </cell>
        </row>
        <row r="99">
          <cell r="E99">
            <v>31.939999999999998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18"/>
  <sheetViews>
    <sheetView tabSelected="1" view="pageBreakPreview" zoomScale="75" zoomScaleNormal="75" zoomScaleSheetLayoutView="75" workbookViewId="0">
      <selection activeCell="D61" sqref="D61"/>
    </sheetView>
  </sheetViews>
  <sheetFormatPr baseColWidth="10" defaultColWidth="11.42578125" defaultRowHeight="14.25" x14ac:dyDescent="0.25"/>
  <cols>
    <col min="1" max="1" width="19.28515625" style="2" customWidth="1"/>
    <col min="2" max="2" width="83.28515625" style="2" bestFit="1" customWidth="1"/>
    <col min="3" max="3" width="4.85546875" style="2" bestFit="1" customWidth="1"/>
    <col min="4" max="4" width="12.28515625" style="20" bestFit="1" customWidth="1"/>
    <col min="5" max="5" width="17.7109375" style="2" bestFit="1" customWidth="1"/>
    <col min="6" max="6" width="28.28515625" style="2" bestFit="1" customWidth="1"/>
    <col min="7" max="7" width="17.28515625" style="2" bestFit="1" customWidth="1"/>
    <col min="8" max="8" width="24.42578125" style="2" bestFit="1" customWidth="1"/>
    <col min="9" max="9" width="11.42578125" style="1"/>
    <col min="10" max="10" width="25.5703125" style="1" bestFit="1" customWidth="1"/>
    <col min="11" max="16384" width="11.42578125" style="1"/>
  </cols>
  <sheetData>
    <row r="2" spans="1:10" ht="15" x14ac:dyDescent="0.25">
      <c r="A2" s="51" t="s">
        <v>0</v>
      </c>
      <c r="B2" s="51"/>
      <c r="C2" s="51"/>
      <c r="D2" s="51"/>
      <c r="E2" s="51"/>
      <c r="F2" s="51"/>
      <c r="G2" s="51"/>
      <c r="H2" s="51"/>
    </row>
    <row r="3" spans="1:10" ht="15" x14ac:dyDescent="0.25">
      <c r="A3" s="51" t="s">
        <v>1</v>
      </c>
      <c r="B3" s="51"/>
      <c r="C3" s="51"/>
      <c r="D3" s="51"/>
      <c r="E3" s="51"/>
      <c r="F3" s="51"/>
      <c r="G3" s="51"/>
      <c r="H3" s="51"/>
    </row>
    <row r="4" spans="1:10" ht="15" x14ac:dyDescent="0.25">
      <c r="A4" s="52" t="s">
        <v>2</v>
      </c>
      <c r="B4" s="52"/>
      <c r="C4" s="52"/>
      <c r="D4" s="52"/>
      <c r="E4" s="52"/>
      <c r="F4" s="52"/>
      <c r="G4" s="53"/>
    </row>
    <row r="5" spans="1:10" s="5" customFormat="1" ht="36" customHeight="1" x14ac:dyDescent="0.25">
      <c r="A5" s="3" t="s">
        <v>3</v>
      </c>
      <c r="B5" s="3" t="s">
        <v>4</v>
      </c>
      <c r="C5" s="3" t="s">
        <v>5</v>
      </c>
      <c r="D5" s="17" t="s">
        <v>6</v>
      </c>
      <c r="E5" s="4" t="s">
        <v>21</v>
      </c>
      <c r="F5" s="4" t="s">
        <v>22</v>
      </c>
      <c r="G5" s="4" t="s">
        <v>23</v>
      </c>
      <c r="H5" s="4" t="s">
        <v>24</v>
      </c>
    </row>
    <row r="6" spans="1:10" s="5" customFormat="1" ht="12" customHeight="1" x14ac:dyDescent="0.25">
      <c r="A6" s="6"/>
      <c r="B6" s="6"/>
      <c r="C6" s="6"/>
      <c r="D6" s="18"/>
      <c r="E6" s="7"/>
      <c r="F6" s="7"/>
      <c r="G6" s="7"/>
      <c r="H6" s="7"/>
    </row>
    <row r="7" spans="1:10" ht="18" customHeight="1" x14ac:dyDescent="0.25">
      <c r="A7" s="11"/>
      <c r="B7" s="8" t="s">
        <v>9</v>
      </c>
      <c r="C7" s="9"/>
      <c r="D7" s="19"/>
      <c r="E7" s="10"/>
      <c r="F7" s="10"/>
      <c r="G7" s="10"/>
      <c r="H7" s="10"/>
    </row>
    <row r="8" spans="1:10" ht="12" customHeight="1" x14ac:dyDescent="0.25">
      <c r="A8" s="9"/>
      <c r="B8" s="11"/>
      <c r="C8" s="9"/>
      <c r="D8" s="19"/>
      <c r="E8" s="10"/>
      <c r="F8" s="10"/>
      <c r="G8" s="10"/>
      <c r="H8" s="10"/>
    </row>
    <row r="9" spans="1:10" x14ac:dyDescent="0.25">
      <c r="A9" s="9" t="s">
        <v>10</v>
      </c>
      <c r="B9" s="12" t="s">
        <v>13</v>
      </c>
      <c r="C9" s="9"/>
      <c r="D9" s="19"/>
      <c r="E9" s="10"/>
      <c r="F9" s="10"/>
      <c r="G9" s="10"/>
      <c r="H9" s="10"/>
    </row>
    <row r="10" spans="1:10" ht="12" customHeight="1" x14ac:dyDescent="0.25">
      <c r="A10" s="9"/>
      <c r="B10" s="12" t="s">
        <v>11</v>
      </c>
      <c r="C10" s="9"/>
      <c r="D10" s="19"/>
      <c r="E10" s="10"/>
      <c r="F10" s="10"/>
      <c r="G10" s="10"/>
      <c r="H10" s="10"/>
    </row>
    <row r="11" spans="1:10" ht="12" customHeight="1" x14ac:dyDescent="0.25">
      <c r="A11" s="11"/>
      <c r="B11" s="13" t="s">
        <v>7</v>
      </c>
      <c r="C11" s="9" t="s">
        <v>8</v>
      </c>
      <c r="D11" s="19">
        <v>1770</v>
      </c>
      <c r="E11" s="10"/>
      <c r="F11" s="10"/>
      <c r="G11" s="10"/>
      <c r="H11" s="10">
        <f>(F11+G11)*D11</f>
        <v>0</v>
      </c>
    </row>
    <row r="12" spans="1:10" ht="12" customHeight="1" x14ac:dyDescent="0.25">
      <c r="A12" s="9"/>
      <c r="B12" s="11" t="s">
        <v>12</v>
      </c>
      <c r="C12" s="9"/>
      <c r="D12" s="19"/>
      <c r="E12" s="10"/>
      <c r="F12" s="10"/>
      <c r="G12" s="10"/>
      <c r="H12" s="10">
        <f t="shared" ref="H12:H13" si="0">(F12+G12)*D12</f>
        <v>0</v>
      </c>
    </row>
    <row r="13" spans="1:10" ht="12" customHeight="1" x14ac:dyDescent="0.25">
      <c r="A13" s="9"/>
      <c r="B13" s="13" t="s">
        <v>7</v>
      </c>
      <c r="C13" s="9" t="s">
        <v>8</v>
      </c>
      <c r="D13" s="19">
        <v>12390</v>
      </c>
      <c r="E13" s="10"/>
      <c r="F13" s="10"/>
      <c r="G13" s="10"/>
      <c r="H13" s="10">
        <f t="shared" si="0"/>
        <v>0</v>
      </c>
      <c r="J13" s="16"/>
    </row>
    <row r="14" spans="1:10" ht="15.75" customHeight="1" x14ac:dyDescent="0.25">
      <c r="A14" s="46" t="s">
        <v>55</v>
      </c>
      <c r="B14" s="22" t="s">
        <v>43</v>
      </c>
      <c r="C14" s="23"/>
      <c r="D14" s="24"/>
      <c r="E14" s="25"/>
      <c r="F14" s="25"/>
      <c r="G14" s="25"/>
      <c r="H14" s="40">
        <f>SUM(H15:H19)</f>
        <v>0</v>
      </c>
    </row>
    <row r="15" spans="1:10" ht="15.75" x14ac:dyDescent="0.25">
      <c r="A15" s="50" t="s">
        <v>26</v>
      </c>
      <c r="B15" s="34" t="s">
        <v>35</v>
      </c>
      <c r="C15" s="15" t="s">
        <v>8</v>
      </c>
      <c r="D15" s="27">
        <v>0</v>
      </c>
      <c r="E15" s="35">
        <v>10500</v>
      </c>
      <c r="F15" s="35"/>
      <c r="G15" s="35"/>
      <c r="H15" s="35">
        <f>+E15*D15</f>
        <v>0</v>
      </c>
    </row>
    <row r="16" spans="1:10" ht="17.25" customHeight="1" x14ac:dyDescent="0.25">
      <c r="A16" s="50" t="s">
        <v>27</v>
      </c>
      <c r="B16" s="34" t="s">
        <v>32</v>
      </c>
      <c r="C16" s="15" t="s">
        <v>8</v>
      </c>
      <c r="D16" s="27">
        <v>0</v>
      </c>
      <c r="E16" s="35">
        <v>15500</v>
      </c>
      <c r="F16" s="35"/>
      <c r="G16" s="35"/>
      <c r="H16" s="35">
        <f t="shared" ref="H16:H19" si="1">+E16*D16</f>
        <v>0</v>
      </c>
    </row>
    <row r="17" spans="1:8" ht="15.75" x14ac:dyDescent="0.25">
      <c r="A17" s="50" t="s">
        <v>28</v>
      </c>
      <c r="B17" s="34" t="s">
        <v>29</v>
      </c>
      <c r="C17" s="15" t="s">
        <v>8</v>
      </c>
      <c r="D17" s="27">
        <f>+'[6]PLAN PARKING'!$F$4</f>
        <v>0</v>
      </c>
      <c r="E17" s="35">
        <v>13500</v>
      </c>
      <c r="F17" s="35"/>
      <c r="G17" s="35"/>
      <c r="H17" s="35">
        <f t="shared" si="1"/>
        <v>0</v>
      </c>
    </row>
    <row r="18" spans="1:8" ht="15" customHeight="1" x14ac:dyDescent="0.25">
      <c r="A18" s="50" t="s">
        <v>30</v>
      </c>
      <c r="B18" s="34" t="s">
        <v>33</v>
      </c>
      <c r="C18" s="15" t="s">
        <v>8</v>
      </c>
      <c r="D18" s="27">
        <v>0</v>
      </c>
      <c r="E18" s="35">
        <v>11000</v>
      </c>
      <c r="F18" s="35"/>
      <c r="G18" s="35"/>
      <c r="H18" s="35">
        <f t="shared" si="1"/>
        <v>0</v>
      </c>
    </row>
    <row r="19" spans="1:8" ht="15.75" x14ac:dyDescent="0.25">
      <c r="A19" s="50" t="s">
        <v>31</v>
      </c>
      <c r="B19" s="34" t="s">
        <v>34</v>
      </c>
      <c r="C19" s="15" t="s">
        <v>8</v>
      </c>
      <c r="D19" s="33">
        <v>0</v>
      </c>
      <c r="E19" s="35">
        <v>23000</v>
      </c>
      <c r="F19" s="35"/>
      <c r="G19" s="35"/>
      <c r="H19" s="35">
        <f t="shared" si="1"/>
        <v>0</v>
      </c>
    </row>
    <row r="20" spans="1:8" ht="15" x14ac:dyDescent="0.25">
      <c r="A20" s="46" t="s">
        <v>56</v>
      </c>
      <c r="B20" s="22" t="s">
        <v>44</v>
      </c>
      <c r="C20" s="23"/>
      <c r="D20" s="24"/>
      <c r="E20" s="25"/>
      <c r="F20" s="25"/>
      <c r="G20" s="25"/>
      <c r="H20" s="40">
        <f>SUM(H21:H25)</f>
        <v>0</v>
      </c>
    </row>
    <row r="21" spans="1:8" ht="15.75" x14ac:dyDescent="0.25">
      <c r="A21" s="50" t="s">
        <v>26</v>
      </c>
      <c r="B21" s="34" t="s">
        <v>35</v>
      </c>
      <c r="C21" s="15" t="s">
        <v>8</v>
      </c>
      <c r="D21" s="27">
        <v>0</v>
      </c>
      <c r="E21" s="35">
        <v>10500</v>
      </c>
      <c r="F21" s="35"/>
      <c r="G21" s="35"/>
      <c r="H21" s="35">
        <f>+E21*D21</f>
        <v>0</v>
      </c>
    </row>
    <row r="22" spans="1:8" ht="15.75" x14ac:dyDescent="0.25">
      <c r="A22" s="50" t="s">
        <v>27</v>
      </c>
      <c r="B22" s="34" t="s">
        <v>32</v>
      </c>
      <c r="C22" s="15" t="s">
        <v>8</v>
      </c>
      <c r="D22" s="27">
        <v>0</v>
      </c>
      <c r="E22" s="35">
        <v>15500</v>
      </c>
      <c r="F22" s="35"/>
      <c r="G22" s="35"/>
      <c r="H22" s="35">
        <f t="shared" ref="H22:H25" si="2">+E22*D22</f>
        <v>0</v>
      </c>
    </row>
    <row r="23" spans="1:8" ht="15.75" x14ac:dyDescent="0.25">
      <c r="A23" s="50" t="s">
        <v>28</v>
      </c>
      <c r="B23" s="34" t="s">
        <v>29</v>
      </c>
      <c r="C23" s="15" t="s">
        <v>8</v>
      </c>
      <c r="D23" s="27">
        <f>+'[6]PLAN PARKING'!$F$26</f>
        <v>0</v>
      </c>
      <c r="E23" s="35">
        <v>13500</v>
      </c>
      <c r="F23" s="35"/>
      <c r="G23" s="35"/>
      <c r="H23" s="35">
        <f t="shared" si="2"/>
        <v>0</v>
      </c>
    </row>
    <row r="24" spans="1:8" ht="15.75" x14ac:dyDescent="0.25">
      <c r="A24" s="50" t="s">
        <v>30</v>
      </c>
      <c r="B24" s="34" t="s">
        <v>33</v>
      </c>
      <c r="C24" s="15" t="s">
        <v>8</v>
      </c>
      <c r="D24" s="27">
        <v>0</v>
      </c>
      <c r="E24" s="35">
        <v>11000</v>
      </c>
      <c r="F24" s="35"/>
      <c r="G24" s="35"/>
      <c r="H24" s="35">
        <f t="shared" si="2"/>
        <v>0</v>
      </c>
    </row>
    <row r="25" spans="1:8" ht="15.75" x14ac:dyDescent="0.25">
      <c r="A25" s="50" t="s">
        <v>31</v>
      </c>
      <c r="B25" s="34" t="s">
        <v>34</v>
      </c>
      <c r="C25" s="15" t="s">
        <v>8</v>
      </c>
      <c r="D25" s="33">
        <v>0</v>
      </c>
      <c r="E25" s="35">
        <v>23000</v>
      </c>
      <c r="F25" s="35"/>
      <c r="G25" s="35"/>
      <c r="H25" s="35">
        <f t="shared" si="2"/>
        <v>0</v>
      </c>
    </row>
    <row r="26" spans="1:8" ht="15" x14ac:dyDescent="0.25">
      <c r="A26" s="46" t="s">
        <v>57</v>
      </c>
      <c r="B26" s="22" t="s">
        <v>45</v>
      </c>
      <c r="C26" s="23"/>
      <c r="D26" s="24"/>
      <c r="E26" s="25"/>
      <c r="F26" s="25"/>
      <c r="G26" s="25"/>
      <c r="H26" s="40">
        <f>SUM(H27:H31)</f>
        <v>0</v>
      </c>
    </row>
    <row r="27" spans="1:8" ht="15.75" x14ac:dyDescent="0.25">
      <c r="A27" s="50" t="s">
        <v>26</v>
      </c>
      <c r="B27" s="34" t="s">
        <v>35</v>
      </c>
      <c r="C27" s="15" t="s">
        <v>8</v>
      </c>
      <c r="D27" s="27">
        <v>0</v>
      </c>
      <c r="E27" s="35">
        <v>10500</v>
      </c>
      <c r="F27" s="35"/>
      <c r="G27" s="35"/>
      <c r="H27" s="35">
        <f>+E27*D27</f>
        <v>0</v>
      </c>
    </row>
    <row r="28" spans="1:8" ht="15.75" x14ac:dyDescent="0.25">
      <c r="A28" s="50" t="s">
        <v>27</v>
      </c>
      <c r="B28" s="34" t="s">
        <v>32</v>
      </c>
      <c r="C28" s="15" t="s">
        <v>8</v>
      </c>
      <c r="D28" s="27">
        <v>0</v>
      </c>
      <c r="E28" s="35">
        <v>15500</v>
      </c>
      <c r="F28" s="35"/>
      <c r="G28" s="35"/>
      <c r="H28" s="35">
        <f t="shared" ref="H28:H31" si="3">+E28*D28</f>
        <v>0</v>
      </c>
    </row>
    <row r="29" spans="1:8" ht="15.75" x14ac:dyDescent="0.25">
      <c r="A29" s="50" t="s">
        <v>28</v>
      </c>
      <c r="B29" s="34" t="s">
        <v>29</v>
      </c>
      <c r="C29" s="15" t="s">
        <v>8</v>
      </c>
      <c r="D29" s="27">
        <f>+'[6]PLAN PARKING'!$F$39</f>
        <v>0</v>
      </c>
      <c r="E29" s="35">
        <v>13500</v>
      </c>
      <c r="F29" s="35"/>
      <c r="G29" s="35"/>
      <c r="H29" s="35">
        <f t="shared" si="3"/>
        <v>0</v>
      </c>
    </row>
    <row r="30" spans="1:8" ht="15.75" x14ac:dyDescent="0.25">
      <c r="A30" s="50" t="s">
        <v>30</v>
      </c>
      <c r="B30" s="34" t="s">
        <v>33</v>
      </c>
      <c r="C30" s="15" t="s">
        <v>8</v>
      </c>
      <c r="D30" s="27">
        <v>0</v>
      </c>
      <c r="E30" s="35">
        <v>11000</v>
      </c>
      <c r="F30" s="35"/>
      <c r="G30" s="35"/>
      <c r="H30" s="35">
        <f t="shared" si="3"/>
        <v>0</v>
      </c>
    </row>
    <row r="31" spans="1:8" ht="15.75" x14ac:dyDescent="0.25">
      <c r="A31" s="50" t="s">
        <v>31</v>
      </c>
      <c r="B31" s="34" t="s">
        <v>34</v>
      </c>
      <c r="C31" s="15" t="s">
        <v>8</v>
      </c>
      <c r="D31" s="33">
        <v>0</v>
      </c>
      <c r="E31" s="35">
        <v>23000</v>
      </c>
      <c r="F31" s="35"/>
      <c r="G31" s="35"/>
      <c r="H31" s="35">
        <f t="shared" si="3"/>
        <v>0</v>
      </c>
    </row>
    <row r="32" spans="1:8" ht="15" x14ac:dyDescent="0.25">
      <c r="A32" s="46" t="s">
        <v>58</v>
      </c>
      <c r="B32" s="22" t="s">
        <v>46</v>
      </c>
      <c r="C32" s="23"/>
      <c r="D32" s="24"/>
      <c r="E32" s="25"/>
      <c r="F32" s="25"/>
      <c r="G32" s="25"/>
      <c r="H32" s="40">
        <f>SUM(H33:H37)</f>
        <v>0</v>
      </c>
    </row>
    <row r="33" spans="1:8" ht="15.75" x14ac:dyDescent="0.25">
      <c r="A33" s="50" t="s">
        <v>26</v>
      </c>
      <c r="B33" s="34" t="s">
        <v>35</v>
      </c>
      <c r="C33" s="15" t="s">
        <v>8</v>
      </c>
      <c r="D33" s="27">
        <v>0</v>
      </c>
      <c r="E33" s="35">
        <v>10500</v>
      </c>
      <c r="F33" s="35"/>
      <c r="G33" s="35"/>
      <c r="H33" s="35">
        <f>+E33*D33</f>
        <v>0</v>
      </c>
    </row>
    <row r="34" spans="1:8" ht="15.75" x14ac:dyDescent="0.25">
      <c r="A34" s="50" t="s">
        <v>27</v>
      </c>
      <c r="B34" s="34" t="s">
        <v>32</v>
      </c>
      <c r="C34" s="15" t="s">
        <v>8</v>
      </c>
      <c r="D34" s="27">
        <v>0</v>
      </c>
      <c r="E34" s="35">
        <v>15500</v>
      </c>
      <c r="F34" s="35"/>
      <c r="G34" s="35"/>
      <c r="H34" s="35">
        <f t="shared" ref="H34:H37" si="4">+E34*D34</f>
        <v>0</v>
      </c>
    </row>
    <row r="35" spans="1:8" ht="15.75" x14ac:dyDescent="0.25">
      <c r="A35" s="50" t="s">
        <v>28</v>
      </c>
      <c r="B35" s="34" t="s">
        <v>29</v>
      </c>
      <c r="C35" s="15" t="s">
        <v>8</v>
      </c>
      <c r="D35" s="27">
        <f>+'[6]PLAN PARKING'!$F$52</f>
        <v>0</v>
      </c>
      <c r="E35" s="35">
        <v>13500</v>
      </c>
      <c r="F35" s="35"/>
      <c r="G35" s="35"/>
      <c r="H35" s="35">
        <f t="shared" si="4"/>
        <v>0</v>
      </c>
    </row>
    <row r="36" spans="1:8" ht="15.75" x14ac:dyDescent="0.25">
      <c r="A36" s="50" t="s">
        <v>30</v>
      </c>
      <c r="B36" s="34" t="s">
        <v>33</v>
      </c>
      <c r="C36" s="15" t="s">
        <v>8</v>
      </c>
      <c r="D36" s="27">
        <v>0</v>
      </c>
      <c r="E36" s="35">
        <v>11000</v>
      </c>
      <c r="F36" s="35"/>
      <c r="G36" s="35"/>
      <c r="H36" s="35">
        <f t="shared" si="4"/>
        <v>0</v>
      </c>
    </row>
    <row r="37" spans="1:8" ht="15.75" x14ac:dyDescent="0.25">
      <c r="A37" s="50" t="s">
        <v>31</v>
      </c>
      <c r="B37" s="34" t="s">
        <v>34</v>
      </c>
      <c r="C37" s="15" t="s">
        <v>8</v>
      </c>
      <c r="D37" s="33">
        <v>0</v>
      </c>
      <c r="E37" s="35">
        <v>23000</v>
      </c>
      <c r="F37" s="35"/>
      <c r="G37" s="35"/>
      <c r="H37" s="35">
        <f t="shared" si="4"/>
        <v>0</v>
      </c>
    </row>
    <row r="38" spans="1:8" ht="15" x14ac:dyDescent="0.25">
      <c r="A38" s="46" t="s">
        <v>59</v>
      </c>
      <c r="B38" s="22" t="s">
        <v>47</v>
      </c>
      <c r="C38" s="23"/>
      <c r="D38" s="24"/>
      <c r="E38" s="25"/>
      <c r="F38" s="25"/>
      <c r="G38" s="25"/>
      <c r="H38" s="40">
        <f>SUM(H39:H43)</f>
        <v>0</v>
      </c>
    </row>
    <row r="39" spans="1:8" ht="15.75" x14ac:dyDescent="0.25">
      <c r="A39" s="50" t="s">
        <v>26</v>
      </c>
      <c r="B39" s="34" t="s">
        <v>35</v>
      </c>
      <c r="C39" s="15" t="s">
        <v>8</v>
      </c>
      <c r="D39" s="27">
        <v>0</v>
      </c>
      <c r="E39" s="35">
        <v>10500</v>
      </c>
      <c r="F39" s="35"/>
      <c r="G39" s="35"/>
      <c r="H39" s="35">
        <f>+E39*D39</f>
        <v>0</v>
      </c>
    </row>
    <row r="40" spans="1:8" ht="15.75" x14ac:dyDescent="0.25">
      <c r="A40" s="50" t="s">
        <v>27</v>
      </c>
      <c r="B40" s="34" t="s">
        <v>32</v>
      </c>
      <c r="C40" s="15" t="s">
        <v>8</v>
      </c>
      <c r="D40" s="27">
        <v>0</v>
      </c>
      <c r="E40" s="35">
        <v>15500</v>
      </c>
      <c r="F40" s="35"/>
      <c r="G40" s="35"/>
      <c r="H40" s="35">
        <f t="shared" ref="H40:H43" si="5">+E40*D40</f>
        <v>0</v>
      </c>
    </row>
    <row r="41" spans="1:8" ht="15.75" x14ac:dyDescent="0.25">
      <c r="A41" s="50" t="s">
        <v>28</v>
      </c>
      <c r="B41" s="34" t="s">
        <v>29</v>
      </c>
      <c r="C41" s="15" t="s">
        <v>8</v>
      </c>
      <c r="D41" s="27">
        <f>+'[6]PLAN PARKING'!$F$64</f>
        <v>0</v>
      </c>
      <c r="E41" s="35">
        <v>13500</v>
      </c>
      <c r="F41" s="35"/>
      <c r="G41" s="35"/>
      <c r="H41" s="35">
        <f t="shared" si="5"/>
        <v>0</v>
      </c>
    </row>
    <row r="42" spans="1:8" ht="15.75" x14ac:dyDescent="0.25">
      <c r="A42" s="50" t="s">
        <v>30</v>
      </c>
      <c r="B42" s="34" t="s">
        <v>33</v>
      </c>
      <c r="C42" s="15" t="s">
        <v>8</v>
      </c>
      <c r="D42" s="27">
        <v>0</v>
      </c>
      <c r="E42" s="35">
        <v>11000</v>
      </c>
      <c r="F42" s="35"/>
      <c r="G42" s="35"/>
      <c r="H42" s="35">
        <f t="shared" si="5"/>
        <v>0</v>
      </c>
    </row>
    <row r="43" spans="1:8" ht="15.75" x14ac:dyDescent="0.25">
      <c r="A43" s="50" t="s">
        <v>31</v>
      </c>
      <c r="B43" s="34" t="s">
        <v>34</v>
      </c>
      <c r="C43" s="15" t="s">
        <v>8</v>
      </c>
      <c r="D43" s="33">
        <v>0</v>
      </c>
      <c r="E43" s="35">
        <v>23000</v>
      </c>
      <c r="F43" s="35"/>
      <c r="G43" s="35"/>
      <c r="H43" s="35">
        <f t="shared" si="5"/>
        <v>0</v>
      </c>
    </row>
    <row r="44" spans="1:8" ht="30" x14ac:dyDescent="0.25">
      <c r="A44" s="49" t="s">
        <v>60</v>
      </c>
      <c r="B44" s="22" t="s">
        <v>48</v>
      </c>
      <c r="C44" s="23"/>
      <c r="D44" s="24"/>
      <c r="E44" s="25"/>
      <c r="F44" s="25"/>
      <c r="G44" s="25"/>
      <c r="H44" s="40">
        <f>SUM(H45:H49)</f>
        <v>0</v>
      </c>
    </row>
    <row r="45" spans="1:8" ht="15.75" x14ac:dyDescent="0.25">
      <c r="A45" s="50" t="s">
        <v>26</v>
      </c>
      <c r="B45" s="34" t="s">
        <v>35</v>
      </c>
      <c r="C45" s="15" t="s">
        <v>8</v>
      </c>
      <c r="D45" s="27">
        <f>+'[6]PLAN PARKING'!$F$74</f>
        <v>0</v>
      </c>
      <c r="E45" s="35">
        <v>10500</v>
      </c>
      <c r="F45" s="35"/>
      <c r="G45" s="35"/>
      <c r="H45" s="35">
        <f>+E45*D45</f>
        <v>0</v>
      </c>
    </row>
    <row r="46" spans="1:8" ht="15.75" x14ac:dyDescent="0.25">
      <c r="A46" s="50" t="s">
        <v>27</v>
      </c>
      <c r="B46" s="34" t="s">
        <v>32</v>
      </c>
      <c r="C46" s="15" t="s">
        <v>8</v>
      </c>
      <c r="D46" s="27">
        <v>0</v>
      </c>
      <c r="E46" s="35">
        <v>15500</v>
      </c>
      <c r="F46" s="35"/>
      <c r="G46" s="35"/>
      <c r="H46" s="35">
        <f t="shared" ref="H46:H49" si="6">+E46*D46</f>
        <v>0</v>
      </c>
    </row>
    <row r="47" spans="1:8" ht="15.75" x14ac:dyDescent="0.25">
      <c r="A47" s="50" t="s">
        <v>28</v>
      </c>
      <c r="B47" s="34" t="s">
        <v>29</v>
      </c>
      <c r="C47" s="15" t="s">
        <v>8</v>
      </c>
      <c r="D47" s="27">
        <f>+'[6]PLAN PARKING'!$F$76</f>
        <v>0</v>
      </c>
      <c r="E47" s="35">
        <v>13500</v>
      </c>
      <c r="F47" s="35"/>
      <c r="G47" s="35"/>
      <c r="H47" s="35">
        <f t="shared" si="6"/>
        <v>0</v>
      </c>
    </row>
    <row r="48" spans="1:8" ht="15.75" x14ac:dyDescent="0.25">
      <c r="A48" s="50" t="s">
        <v>30</v>
      </c>
      <c r="B48" s="34" t="s">
        <v>33</v>
      </c>
      <c r="C48" s="15" t="s">
        <v>8</v>
      </c>
      <c r="D48" s="27">
        <f>+'[6]PLAN PARKING'!$F$77</f>
        <v>0</v>
      </c>
      <c r="E48" s="35">
        <v>11000</v>
      </c>
      <c r="F48" s="35"/>
      <c r="G48" s="35"/>
      <c r="H48" s="35">
        <f t="shared" si="6"/>
        <v>0</v>
      </c>
    </row>
    <row r="49" spans="1:8" ht="15.75" x14ac:dyDescent="0.25">
      <c r="A49" s="50" t="s">
        <v>31</v>
      </c>
      <c r="B49" s="34" t="s">
        <v>34</v>
      </c>
      <c r="C49" s="15" t="s">
        <v>8</v>
      </c>
      <c r="D49" s="33">
        <v>0</v>
      </c>
      <c r="E49" s="35">
        <v>23000</v>
      </c>
      <c r="F49" s="35"/>
      <c r="G49" s="35"/>
      <c r="H49" s="35">
        <f t="shared" si="6"/>
        <v>0</v>
      </c>
    </row>
    <row r="50" spans="1:8" ht="15" x14ac:dyDescent="0.25">
      <c r="A50" s="46" t="s">
        <v>61</v>
      </c>
      <c r="B50" s="22" t="s">
        <v>49</v>
      </c>
      <c r="C50" s="23"/>
      <c r="D50" s="24"/>
      <c r="E50" s="25"/>
      <c r="F50" s="25"/>
      <c r="G50" s="25"/>
      <c r="H50" s="40">
        <f>SUM(H51:H55)</f>
        <v>0</v>
      </c>
    </row>
    <row r="51" spans="1:8" ht="15.75" x14ac:dyDescent="0.25">
      <c r="A51" s="50" t="s">
        <v>26</v>
      </c>
      <c r="B51" s="34" t="s">
        <v>35</v>
      </c>
      <c r="C51" s="15" t="s">
        <v>8</v>
      </c>
      <c r="D51" s="27">
        <f>+'[6]PLAN PARKING'!$F$102</f>
        <v>0</v>
      </c>
      <c r="E51" s="35">
        <v>10500</v>
      </c>
      <c r="F51" s="35"/>
      <c r="G51" s="35"/>
      <c r="H51" s="35">
        <f>+E51*D51</f>
        <v>0</v>
      </c>
    </row>
    <row r="52" spans="1:8" ht="15.75" x14ac:dyDescent="0.25">
      <c r="A52" s="50" t="s">
        <v>27</v>
      </c>
      <c r="B52" s="34" t="s">
        <v>32</v>
      </c>
      <c r="C52" s="15" t="s">
        <v>8</v>
      </c>
      <c r="D52" s="27">
        <v>0</v>
      </c>
      <c r="E52" s="35">
        <v>15500</v>
      </c>
      <c r="F52" s="35"/>
      <c r="G52" s="35"/>
      <c r="H52" s="35">
        <f t="shared" ref="H52:H55" si="7">+E52*D52</f>
        <v>0</v>
      </c>
    </row>
    <row r="53" spans="1:8" ht="15.75" x14ac:dyDescent="0.25">
      <c r="A53" s="50" t="s">
        <v>28</v>
      </c>
      <c r="B53" s="34" t="s">
        <v>29</v>
      </c>
      <c r="C53" s="15" t="s">
        <v>8</v>
      </c>
      <c r="D53" s="27">
        <f>+'[6]PLAN PARKING'!$F$104</f>
        <v>0</v>
      </c>
      <c r="E53" s="35">
        <v>13500</v>
      </c>
      <c r="F53" s="35"/>
      <c r="G53" s="35"/>
      <c r="H53" s="35">
        <f t="shared" si="7"/>
        <v>0</v>
      </c>
    </row>
    <row r="54" spans="1:8" ht="15.75" x14ac:dyDescent="0.25">
      <c r="A54" s="50" t="s">
        <v>30</v>
      </c>
      <c r="B54" s="34" t="s">
        <v>33</v>
      </c>
      <c r="C54" s="15" t="s">
        <v>8</v>
      </c>
      <c r="D54" s="27">
        <f>+'[6]PLAN PARKING'!$F$105</f>
        <v>0</v>
      </c>
      <c r="E54" s="35">
        <v>11000</v>
      </c>
      <c r="F54" s="35"/>
      <c r="G54" s="35"/>
      <c r="H54" s="35">
        <f t="shared" si="7"/>
        <v>0</v>
      </c>
    </row>
    <row r="55" spans="1:8" ht="15.75" x14ac:dyDescent="0.25">
      <c r="A55" s="50" t="s">
        <v>31</v>
      </c>
      <c r="B55" s="34" t="s">
        <v>34</v>
      </c>
      <c r="C55" s="15" t="s">
        <v>8</v>
      </c>
      <c r="D55" s="33">
        <v>0</v>
      </c>
      <c r="E55" s="35">
        <v>23000</v>
      </c>
      <c r="F55" s="35"/>
      <c r="G55" s="35"/>
      <c r="H55" s="35">
        <f t="shared" si="7"/>
        <v>0</v>
      </c>
    </row>
    <row r="56" spans="1:8" ht="15" x14ac:dyDescent="0.25">
      <c r="A56" s="46" t="s">
        <v>62</v>
      </c>
      <c r="B56" s="22" t="s">
        <v>50</v>
      </c>
      <c r="C56" s="23"/>
      <c r="D56" s="24"/>
      <c r="E56" s="25"/>
      <c r="F56" s="25"/>
      <c r="G56" s="25"/>
      <c r="H56" s="40">
        <f>SUM(H57:H61)</f>
        <v>0</v>
      </c>
    </row>
    <row r="57" spans="1:8" ht="15.75" x14ac:dyDescent="0.25">
      <c r="A57" s="50" t="s">
        <v>26</v>
      </c>
      <c r="B57" s="34" t="s">
        <v>35</v>
      </c>
      <c r="C57" s="15" t="s">
        <v>8</v>
      </c>
      <c r="D57" s="27">
        <f>+'[6]PLAN PARKING'!$F$139</f>
        <v>0</v>
      </c>
      <c r="E57" s="35">
        <v>10500</v>
      </c>
      <c r="F57" s="35"/>
      <c r="G57" s="35"/>
      <c r="H57" s="35">
        <f>+E57*D57</f>
        <v>0</v>
      </c>
    </row>
    <row r="58" spans="1:8" ht="15.75" x14ac:dyDescent="0.25">
      <c r="A58" s="50" t="s">
        <v>27</v>
      </c>
      <c r="B58" s="34" t="s">
        <v>32</v>
      </c>
      <c r="C58" s="15" t="s">
        <v>8</v>
      </c>
      <c r="D58" s="27">
        <v>0</v>
      </c>
      <c r="E58" s="35">
        <v>15500</v>
      </c>
      <c r="F58" s="35"/>
      <c r="G58" s="35"/>
      <c r="H58" s="35">
        <f t="shared" ref="H58:H61" si="8">+E58*D58</f>
        <v>0</v>
      </c>
    </row>
    <row r="59" spans="1:8" ht="15.75" x14ac:dyDescent="0.25">
      <c r="A59" s="50" t="s">
        <v>28</v>
      </c>
      <c r="B59" s="34" t="s">
        <v>29</v>
      </c>
      <c r="C59" s="15" t="s">
        <v>8</v>
      </c>
      <c r="D59" s="27">
        <f>+'[6]PLAN PARKING'!$F$141</f>
        <v>0</v>
      </c>
      <c r="E59" s="35">
        <v>13500</v>
      </c>
      <c r="F59" s="35"/>
      <c r="G59" s="35"/>
      <c r="H59" s="35">
        <f t="shared" si="8"/>
        <v>0</v>
      </c>
    </row>
    <row r="60" spans="1:8" ht="15.75" x14ac:dyDescent="0.25">
      <c r="A60" s="50" t="s">
        <v>30</v>
      </c>
      <c r="B60" s="34" t="s">
        <v>33</v>
      </c>
      <c r="C60" s="15" t="s">
        <v>8</v>
      </c>
      <c r="D60" s="27">
        <f>+'[6]PLAN PARKING'!$F$142</f>
        <v>0</v>
      </c>
      <c r="E60" s="35">
        <v>11000</v>
      </c>
      <c r="F60" s="35"/>
      <c r="G60" s="35"/>
      <c r="H60" s="35">
        <f t="shared" si="8"/>
        <v>0</v>
      </c>
    </row>
    <row r="61" spans="1:8" ht="15.75" x14ac:dyDescent="0.25">
      <c r="A61" s="50" t="s">
        <v>31</v>
      </c>
      <c r="B61" s="34" t="s">
        <v>34</v>
      </c>
      <c r="C61" s="15" t="s">
        <v>8</v>
      </c>
      <c r="D61" s="33">
        <f>+'[6]PLAN PARKING'!$F$143</f>
        <v>0</v>
      </c>
      <c r="E61" s="35">
        <v>23000</v>
      </c>
      <c r="F61" s="35"/>
      <c r="G61" s="35"/>
      <c r="H61" s="35">
        <f t="shared" si="8"/>
        <v>0</v>
      </c>
    </row>
    <row r="62" spans="1:8" ht="15" x14ac:dyDescent="0.25">
      <c r="A62" s="46" t="s">
        <v>63</v>
      </c>
      <c r="B62" s="22" t="s">
        <v>25</v>
      </c>
      <c r="C62" s="23"/>
      <c r="D62" s="24"/>
      <c r="E62" s="25"/>
      <c r="F62" s="25"/>
      <c r="G62" s="25"/>
      <c r="H62" s="40">
        <f>SUM(H63:H67)</f>
        <v>9542590</v>
      </c>
    </row>
    <row r="63" spans="1:8" ht="15.75" x14ac:dyDescent="0.25">
      <c r="A63" s="50" t="s">
        <v>26</v>
      </c>
      <c r="B63" s="34" t="s">
        <v>35</v>
      </c>
      <c r="C63" s="15" t="s">
        <v>8</v>
      </c>
      <c r="D63" s="27">
        <v>867.54</v>
      </c>
      <c r="E63" s="35">
        <v>10500</v>
      </c>
      <c r="F63" s="35"/>
      <c r="G63" s="35"/>
      <c r="H63" s="35">
        <f>+E63*D63</f>
        <v>9109170</v>
      </c>
    </row>
    <row r="64" spans="1:8" ht="15.75" x14ac:dyDescent="0.25">
      <c r="A64" s="50" t="s">
        <v>27</v>
      </c>
      <c r="B64" s="34" t="s">
        <v>32</v>
      </c>
      <c r="C64" s="15" t="s">
        <v>8</v>
      </c>
      <c r="D64" s="27">
        <v>0</v>
      </c>
      <c r="E64" s="35">
        <v>15500</v>
      </c>
      <c r="F64" s="35"/>
      <c r="G64" s="35"/>
      <c r="H64" s="35">
        <f t="shared" ref="H64:H67" si="9">+E64*D64</f>
        <v>0</v>
      </c>
    </row>
    <row r="65" spans="1:8" ht="15.75" x14ac:dyDescent="0.25">
      <c r="A65" s="50" t="s">
        <v>28</v>
      </c>
      <c r="B65" s="34" t="s">
        <v>29</v>
      </c>
      <c r="C65" s="15" t="s">
        <v>8</v>
      </c>
      <c r="D65" s="27">
        <f>+'[6]PLAN BUREAUX'!$E$6</f>
        <v>6.08</v>
      </c>
      <c r="E65" s="35">
        <v>13500</v>
      </c>
      <c r="F65" s="35"/>
      <c r="G65" s="35"/>
      <c r="H65" s="35">
        <f t="shared" si="9"/>
        <v>82080</v>
      </c>
    </row>
    <row r="66" spans="1:8" ht="15.75" x14ac:dyDescent="0.25">
      <c r="A66" s="50" t="s">
        <v>30</v>
      </c>
      <c r="B66" s="34" t="s">
        <v>33</v>
      </c>
      <c r="C66" s="15" t="s">
        <v>8</v>
      </c>
      <c r="D66" s="27">
        <f>+'[6]PLAN BUREAUX'!$E$7</f>
        <v>31.939999999999998</v>
      </c>
      <c r="E66" s="35">
        <v>11000</v>
      </c>
      <c r="F66" s="35"/>
      <c r="G66" s="35"/>
      <c r="H66" s="35">
        <f t="shared" si="9"/>
        <v>351340</v>
      </c>
    </row>
    <row r="67" spans="1:8" ht="15.75" x14ac:dyDescent="0.25">
      <c r="A67" s="50" t="s">
        <v>31</v>
      </c>
      <c r="B67" s="34" t="s">
        <v>34</v>
      </c>
      <c r="C67" s="15" t="s">
        <v>8</v>
      </c>
      <c r="D67" s="33">
        <f>+'[6]PLAN BUREAUX'!$E$8</f>
        <v>0</v>
      </c>
      <c r="E67" s="35">
        <v>23000</v>
      </c>
      <c r="F67" s="35"/>
      <c r="G67" s="35"/>
      <c r="H67" s="35">
        <f t="shared" si="9"/>
        <v>0</v>
      </c>
    </row>
    <row r="68" spans="1:8" ht="15" x14ac:dyDescent="0.25">
      <c r="A68" s="46" t="s">
        <v>64</v>
      </c>
      <c r="B68" s="37" t="s">
        <v>36</v>
      </c>
      <c r="C68" s="36"/>
      <c r="D68" s="38"/>
      <c r="E68" s="39"/>
      <c r="F68" s="39"/>
      <c r="G68" s="39"/>
      <c r="H68" s="40">
        <f>SUM(H69:H73)</f>
        <v>76542320</v>
      </c>
    </row>
    <row r="69" spans="1:8" ht="15.75" x14ac:dyDescent="0.25">
      <c r="A69" s="50" t="s">
        <v>26</v>
      </c>
      <c r="B69" s="34" t="s">
        <v>35</v>
      </c>
      <c r="C69" s="15" t="s">
        <v>8</v>
      </c>
      <c r="D69" s="27">
        <v>6959.52</v>
      </c>
      <c r="E69" s="35">
        <v>10500</v>
      </c>
      <c r="F69" s="35"/>
      <c r="G69" s="35"/>
      <c r="H69" s="35">
        <f t="shared" ref="H69:H109" si="10">+E69*D69</f>
        <v>73074960</v>
      </c>
    </row>
    <row r="70" spans="1:8" ht="15.75" x14ac:dyDescent="0.25">
      <c r="A70" s="50" t="s">
        <v>27</v>
      </c>
      <c r="B70" s="34" t="s">
        <v>32</v>
      </c>
      <c r="C70" s="15" t="s">
        <v>8</v>
      </c>
      <c r="D70" s="27">
        <v>0</v>
      </c>
      <c r="E70" s="35">
        <v>15500</v>
      </c>
      <c r="F70" s="35"/>
      <c r="G70" s="35"/>
      <c r="H70" s="35">
        <f t="shared" si="10"/>
        <v>0</v>
      </c>
    </row>
    <row r="71" spans="1:8" ht="15.75" x14ac:dyDescent="0.25">
      <c r="A71" s="50" t="s">
        <v>28</v>
      </c>
      <c r="B71" s="34" t="s">
        <v>29</v>
      </c>
      <c r="C71" s="15" t="s">
        <v>8</v>
      </c>
      <c r="D71" s="27">
        <f>+'[6]PLAN BUREAUX'!$E$20</f>
        <v>48.64</v>
      </c>
      <c r="E71" s="35">
        <v>13500</v>
      </c>
      <c r="F71" s="35"/>
      <c r="G71" s="35"/>
      <c r="H71" s="35">
        <f t="shared" si="10"/>
        <v>656640</v>
      </c>
    </row>
    <row r="72" spans="1:8" ht="15.75" x14ac:dyDescent="0.25">
      <c r="A72" s="50" t="s">
        <v>30</v>
      </c>
      <c r="B72" s="34" t="s">
        <v>33</v>
      </c>
      <c r="C72" s="15" t="s">
        <v>8</v>
      </c>
      <c r="D72" s="27">
        <f>+'[6]PLAN BUREAUX'!$E$21</f>
        <v>255.51999999999998</v>
      </c>
      <c r="E72" s="35">
        <v>11000</v>
      </c>
      <c r="F72" s="35"/>
      <c r="G72" s="35"/>
      <c r="H72" s="35">
        <f t="shared" si="10"/>
        <v>2810720</v>
      </c>
    </row>
    <row r="73" spans="1:8" ht="15.75" x14ac:dyDescent="0.25">
      <c r="A73" s="50" t="s">
        <v>31</v>
      </c>
      <c r="B73" s="34" t="s">
        <v>34</v>
      </c>
      <c r="C73" s="15" t="s">
        <v>8</v>
      </c>
      <c r="D73" s="33">
        <f>+'[6]PLAN BUREAUX'!$E$22</f>
        <v>0</v>
      </c>
      <c r="E73" s="35">
        <v>23000</v>
      </c>
      <c r="F73" s="35"/>
      <c r="G73" s="35"/>
      <c r="H73" s="35">
        <f t="shared" si="10"/>
        <v>0</v>
      </c>
    </row>
    <row r="74" spans="1:8" ht="15" x14ac:dyDescent="0.25">
      <c r="A74" s="46" t="s">
        <v>65</v>
      </c>
      <c r="B74" s="37" t="s">
        <v>37</v>
      </c>
      <c r="C74" s="36"/>
      <c r="D74" s="38"/>
      <c r="E74" s="39"/>
      <c r="F74" s="39"/>
      <c r="G74" s="39"/>
      <c r="H74" s="41">
        <f>SUM(H75:H79)</f>
        <v>5285050</v>
      </c>
    </row>
    <row r="75" spans="1:8" ht="15.75" x14ac:dyDescent="0.25">
      <c r="A75" s="50" t="s">
        <v>26</v>
      </c>
      <c r="B75" s="34" t="s">
        <v>35</v>
      </c>
      <c r="C75" s="15" t="s">
        <v>8</v>
      </c>
      <c r="D75" s="27">
        <v>462.06</v>
      </c>
      <c r="E75" s="35">
        <v>10500</v>
      </c>
      <c r="F75" s="35"/>
      <c r="G75" s="35"/>
      <c r="H75" s="35">
        <f t="shared" si="10"/>
        <v>4851630</v>
      </c>
    </row>
    <row r="76" spans="1:8" ht="15.75" x14ac:dyDescent="0.25">
      <c r="A76" s="50" t="s">
        <v>27</v>
      </c>
      <c r="B76" s="34" t="s">
        <v>32</v>
      </c>
      <c r="C76" s="15" t="s">
        <v>8</v>
      </c>
      <c r="D76" s="27">
        <v>0</v>
      </c>
      <c r="E76" s="35">
        <v>15500</v>
      </c>
      <c r="F76" s="35"/>
      <c r="G76" s="35"/>
      <c r="H76" s="35">
        <f t="shared" si="10"/>
        <v>0</v>
      </c>
    </row>
    <row r="77" spans="1:8" ht="15.75" x14ac:dyDescent="0.25">
      <c r="A77" s="50" t="s">
        <v>28</v>
      </c>
      <c r="B77" s="34" t="s">
        <v>29</v>
      </c>
      <c r="C77" s="15" t="s">
        <v>8</v>
      </c>
      <c r="D77" s="27">
        <f>+'[6]PLAN BUREAUX'!$E$33</f>
        <v>6.08</v>
      </c>
      <c r="E77" s="35">
        <v>13500</v>
      </c>
      <c r="F77" s="35"/>
      <c r="G77" s="35"/>
      <c r="H77" s="35">
        <f t="shared" si="10"/>
        <v>82080</v>
      </c>
    </row>
    <row r="78" spans="1:8" ht="15.75" x14ac:dyDescent="0.25">
      <c r="A78" s="50" t="s">
        <v>30</v>
      </c>
      <c r="B78" s="34" t="s">
        <v>33</v>
      </c>
      <c r="C78" s="15" t="s">
        <v>8</v>
      </c>
      <c r="D78" s="27">
        <f>+'[6]PLAN BUREAUX'!$E$34</f>
        <v>31.939999999999998</v>
      </c>
      <c r="E78" s="35">
        <v>11000</v>
      </c>
      <c r="F78" s="35"/>
      <c r="G78" s="35"/>
      <c r="H78" s="35">
        <f t="shared" si="10"/>
        <v>351340</v>
      </c>
    </row>
    <row r="79" spans="1:8" ht="15.75" x14ac:dyDescent="0.25">
      <c r="A79" s="50" t="s">
        <v>31</v>
      </c>
      <c r="B79" s="34" t="s">
        <v>34</v>
      </c>
      <c r="C79" s="15" t="s">
        <v>8</v>
      </c>
      <c r="D79" s="33">
        <f>+'[6]PLAN BUREAUX'!$E$35</f>
        <v>0</v>
      </c>
      <c r="E79" s="35">
        <v>23000</v>
      </c>
      <c r="F79" s="35"/>
      <c r="G79" s="35"/>
      <c r="H79" s="35">
        <f t="shared" si="10"/>
        <v>0</v>
      </c>
    </row>
    <row r="80" spans="1:8" ht="15" x14ac:dyDescent="0.25">
      <c r="A80" s="46" t="s">
        <v>66</v>
      </c>
      <c r="B80" s="37" t="s">
        <v>38</v>
      </c>
      <c r="C80" s="36"/>
      <c r="D80" s="38"/>
      <c r="E80" s="39"/>
      <c r="F80" s="39"/>
      <c r="G80" s="39"/>
      <c r="H80" s="41">
        <f>SUM(H81:H85)</f>
        <v>57406740</v>
      </c>
    </row>
    <row r="81" spans="1:8" ht="15.75" x14ac:dyDescent="0.25">
      <c r="A81" s="50" t="s">
        <v>26</v>
      </c>
      <c r="B81" s="34" t="s">
        <v>35</v>
      </c>
      <c r="C81" s="15" t="s">
        <v>8</v>
      </c>
      <c r="D81" s="27">
        <v>5219.6400000000003</v>
      </c>
      <c r="E81" s="35">
        <v>10500</v>
      </c>
      <c r="F81" s="35"/>
      <c r="G81" s="35"/>
      <c r="H81" s="35">
        <f t="shared" si="10"/>
        <v>54806220</v>
      </c>
    </row>
    <row r="82" spans="1:8" ht="15.75" x14ac:dyDescent="0.25">
      <c r="A82" s="50" t="s">
        <v>27</v>
      </c>
      <c r="B82" s="34" t="s">
        <v>32</v>
      </c>
      <c r="C82" s="15" t="s">
        <v>8</v>
      </c>
      <c r="D82" s="27">
        <v>0</v>
      </c>
      <c r="E82" s="35">
        <v>15500</v>
      </c>
      <c r="F82" s="35"/>
      <c r="G82" s="35"/>
      <c r="H82" s="35">
        <f t="shared" si="10"/>
        <v>0</v>
      </c>
    </row>
    <row r="83" spans="1:8" ht="15.75" x14ac:dyDescent="0.25">
      <c r="A83" s="50" t="s">
        <v>28</v>
      </c>
      <c r="B83" s="34" t="s">
        <v>29</v>
      </c>
      <c r="C83" s="15" t="s">
        <v>8</v>
      </c>
      <c r="D83" s="27">
        <f>+'[6]PLAN BUREAUX'!$E$45</f>
        <v>36.480000000000004</v>
      </c>
      <c r="E83" s="35">
        <v>13500</v>
      </c>
      <c r="F83" s="35"/>
      <c r="G83" s="35"/>
      <c r="H83" s="35">
        <f t="shared" si="10"/>
        <v>492480.00000000006</v>
      </c>
    </row>
    <row r="84" spans="1:8" ht="15.75" x14ac:dyDescent="0.25">
      <c r="A84" s="50" t="s">
        <v>30</v>
      </c>
      <c r="B84" s="34" t="s">
        <v>33</v>
      </c>
      <c r="C84" s="15" t="s">
        <v>8</v>
      </c>
      <c r="D84" s="27">
        <f>+'[6]PLAN BUREAUX'!$E$46</f>
        <v>191.64</v>
      </c>
      <c r="E84" s="35">
        <v>11000</v>
      </c>
      <c r="F84" s="35"/>
      <c r="G84" s="35"/>
      <c r="H84" s="35">
        <f t="shared" si="10"/>
        <v>2108040</v>
      </c>
    </row>
    <row r="85" spans="1:8" ht="15.75" x14ac:dyDescent="0.25">
      <c r="A85" s="50" t="s">
        <v>31</v>
      </c>
      <c r="B85" s="34" t="s">
        <v>34</v>
      </c>
      <c r="C85" s="15" t="s">
        <v>8</v>
      </c>
      <c r="D85" s="33">
        <f>+'[6]PLAN BUREAUX'!$E$47</f>
        <v>0</v>
      </c>
      <c r="E85" s="35">
        <v>23000</v>
      </c>
      <c r="F85" s="35"/>
      <c r="G85" s="35"/>
      <c r="H85" s="35">
        <f t="shared" si="10"/>
        <v>0</v>
      </c>
    </row>
    <row r="86" spans="1:8" ht="15" x14ac:dyDescent="0.25">
      <c r="A86" s="46" t="s">
        <v>67</v>
      </c>
      <c r="B86" s="37" t="s">
        <v>39</v>
      </c>
      <c r="C86" s="36"/>
      <c r="D86" s="38"/>
      <c r="E86" s="39"/>
      <c r="F86" s="39"/>
      <c r="G86" s="39"/>
      <c r="H86" s="41">
        <f>SUM(H87:H91)</f>
        <v>9484000</v>
      </c>
    </row>
    <row r="87" spans="1:8" ht="15.75" x14ac:dyDescent="0.25">
      <c r="A87" s="50" t="s">
        <v>26</v>
      </c>
      <c r="B87" s="34" t="s">
        <v>35</v>
      </c>
      <c r="C87" s="15" t="s">
        <v>8</v>
      </c>
      <c r="D87" s="27">
        <v>861.96</v>
      </c>
      <c r="E87" s="35">
        <v>10500</v>
      </c>
      <c r="F87" s="35"/>
      <c r="G87" s="35"/>
      <c r="H87" s="35">
        <f t="shared" si="10"/>
        <v>9050580</v>
      </c>
    </row>
    <row r="88" spans="1:8" ht="15.75" x14ac:dyDescent="0.25">
      <c r="A88" s="50" t="s">
        <v>27</v>
      </c>
      <c r="B88" s="34" t="s">
        <v>32</v>
      </c>
      <c r="C88" s="15" t="s">
        <v>8</v>
      </c>
      <c r="D88" s="27">
        <v>0</v>
      </c>
      <c r="E88" s="35">
        <v>15500</v>
      </c>
      <c r="F88" s="35"/>
      <c r="G88" s="35"/>
      <c r="H88" s="35">
        <f t="shared" si="10"/>
        <v>0</v>
      </c>
    </row>
    <row r="89" spans="1:8" ht="15.75" x14ac:dyDescent="0.25">
      <c r="A89" s="50" t="s">
        <v>28</v>
      </c>
      <c r="B89" s="34" t="s">
        <v>29</v>
      </c>
      <c r="C89" s="15" t="s">
        <v>8</v>
      </c>
      <c r="D89" s="27">
        <f>+'[6]PLAN BUREAUX'!$E$61</f>
        <v>6.08</v>
      </c>
      <c r="E89" s="35">
        <v>13500</v>
      </c>
      <c r="F89" s="35"/>
      <c r="G89" s="35"/>
      <c r="H89" s="35">
        <f t="shared" si="10"/>
        <v>82080</v>
      </c>
    </row>
    <row r="90" spans="1:8" ht="15.75" x14ac:dyDescent="0.25">
      <c r="A90" s="50" t="s">
        <v>30</v>
      </c>
      <c r="B90" s="34" t="s">
        <v>33</v>
      </c>
      <c r="C90" s="15" t="s">
        <v>8</v>
      </c>
      <c r="D90" s="27">
        <f>+'[6]PLAN BUREAUX'!$E$62</f>
        <v>31.939999999999998</v>
      </c>
      <c r="E90" s="35">
        <v>11000</v>
      </c>
      <c r="F90" s="35"/>
      <c r="G90" s="35"/>
      <c r="H90" s="35">
        <f t="shared" si="10"/>
        <v>351340</v>
      </c>
    </row>
    <row r="91" spans="1:8" ht="15.75" x14ac:dyDescent="0.25">
      <c r="A91" s="50" t="s">
        <v>31</v>
      </c>
      <c r="B91" s="34" t="s">
        <v>34</v>
      </c>
      <c r="C91" s="15" t="s">
        <v>8</v>
      </c>
      <c r="D91" s="33">
        <f>+'[6]PLAN BUREAUX'!$E$63</f>
        <v>0</v>
      </c>
      <c r="E91" s="35">
        <v>23000</v>
      </c>
      <c r="F91" s="35"/>
      <c r="G91" s="35"/>
      <c r="H91" s="35">
        <f t="shared" si="10"/>
        <v>0</v>
      </c>
    </row>
    <row r="92" spans="1:8" ht="15" x14ac:dyDescent="0.25">
      <c r="A92" s="46" t="s">
        <v>14</v>
      </c>
      <c r="B92" s="37" t="s">
        <v>40</v>
      </c>
      <c r="C92" s="36"/>
      <c r="D92" s="38"/>
      <c r="E92" s="39"/>
      <c r="F92" s="39"/>
      <c r="G92" s="39"/>
      <c r="H92" s="41">
        <f>SUM(H93:H97)</f>
        <v>9016960</v>
      </c>
    </row>
    <row r="93" spans="1:8" ht="15.75" x14ac:dyDescent="0.25">
      <c r="A93" s="50" t="s">
        <v>26</v>
      </c>
      <c r="B93" s="34" t="s">
        <v>35</v>
      </c>
      <c r="C93" s="15" t="s">
        <v>8</v>
      </c>
      <c r="D93" s="27">
        <v>817.48</v>
      </c>
      <c r="E93" s="35">
        <v>10500</v>
      </c>
      <c r="F93" s="35"/>
      <c r="G93" s="35"/>
      <c r="H93" s="35">
        <f t="shared" si="10"/>
        <v>8583540</v>
      </c>
    </row>
    <row r="94" spans="1:8" ht="15.75" x14ac:dyDescent="0.25">
      <c r="A94" s="50" t="s">
        <v>27</v>
      </c>
      <c r="B94" s="34" t="s">
        <v>32</v>
      </c>
      <c r="C94" s="15" t="s">
        <v>8</v>
      </c>
      <c r="D94" s="27">
        <v>0</v>
      </c>
      <c r="E94" s="35">
        <v>15500</v>
      </c>
      <c r="F94" s="35"/>
      <c r="G94" s="35"/>
      <c r="H94" s="35">
        <f t="shared" si="10"/>
        <v>0</v>
      </c>
    </row>
    <row r="95" spans="1:8" ht="15.75" x14ac:dyDescent="0.25">
      <c r="A95" s="50" t="s">
        <v>28</v>
      </c>
      <c r="B95" s="34" t="s">
        <v>29</v>
      </c>
      <c r="C95" s="15" t="s">
        <v>8</v>
      </c>
      <c r="D95" s="27">
        <f>+'[6]PLAN BUREAUX'!$E$75</f>
        <v>6.08</v>
      </c>
      <c r="E95" s="35">
        <v>13500</v>
      </c>
      <c r="F95" s="35"/>
      <c r="G95" s="35"/>
      <c r="H95" s="35">
        <f t="shared" si="10"/>
        <v>82080</v>
      </c>
    </row>
    <row r="96" spans="1:8" ht="15.75" x14ac:dyDescent="0.25">
      <c r="A96" s="50" t="s">
        <v>30</v>
      </c>
      <c r="B96" s="34" t="s">
        <v>33</v>
      </c>
      <c r="C96" s="15" t="s">
        <v>8</v>
      </c>
      <c r="D96" s="27">
        <f>+'[6]PLAN BUREAUX'!$E$76</f>
        <v>31.939999999999998</v>
      </c>
      <c r="E96" s="35">
        <v>11000</v>
      </c>
      <c r="F96" s="35"/>
      <c r="G96" s="35"/>
      <c r="H96" s="35">
        <f t="shared" si="10"/>
        <v>351340</v>
      </c>
    </row>
    <row r="97" spans="1:8" ht="15.75" x14ac:dyDescent="0.25">
      <c r="A97" s="50" t="s">
        <v>31</v>
      </c>
      <c r="B97" s="34" t="s">
        <v>34</v>
      </c>
      <c r="C97" s="15" t="s">
        <v>8</v>
      </c>
      <c r="D97" s="33">
        <f>+'[6]PLAN BUREAUX'!$E$77</f>
        <v>0</v>
      </c>
      <c r="E97" s="35">
        <v>23000</v>
      </c>
      <c r="F97" s="35"/>
      <c r="G97" s="35"/>
      <c r="H97" s="35">
        <f t="shared" si="10"/>
        <v>0</v>
      </c>
    </row>
    <row r="98" spans="1:8" ht="15" x14ac:dyDescent="0.25">
      <c r="A98" s="46" t="s">
        <v>17</v>
      </c>
      <c r="B98" s="37" t="s">
        <v>41</v>
      </c>
      <c r="C98" s="36"/>
      <c r="D98" s="38"/>
      <c r="E98" s="39"/>
      <c r="F98" s="39"/>
      <c r="G98" s="39"/>
      <c r="H98" s="41">
        <f>SUM(H99:H103)</f>
        <v>6909610</v>
      </c>
    </row>
    <row r="99" spans="1:8" ht="15.75" x14ac:dyDescent="0.25">
      <c r="A99" s="50" t="s">
        <v>26</v>
      </c>
      <c r="B99" s="34" t="s">
        <v>35</v>
      </c>
      <c r="C99" s="15" t="s">
        <v>8</v>
      </c>
      <c r="D99" s="27">
        <v>616.78</v>
      </c>
      <c r="E99" s="35">
        <v>10500</v>
      </c>
      <c r="F99" s="35"/>
      <c r="G99" s="35"/>
      <c r="H99" s="35">
        <f t="shared" si="10"/>
        <v>6476190</v>
      </c>
    </row>
    <row r="100" spans="1:8" ht="15.75" x14ac:dyDescent="0.25">
      <c r="A100" s="50" t="s">
        <v>27</v>
      </c>
      <c r="B100" s="34" t="s">
        <v>32</v>
      </c>
      <c r="C100" s="15" t="s">
        <v>8</v>
      </c>
      <c r="D100" s="27">
        <v>0</v>
      </c>
      <c r="E100" s="35">
        <v>15500</v>
      </c>
      <c r="F100" s="35"/>
      <c r="G100" s="35"/>
      <c r="H100" s="35">
        <f t="shared" si="10"/>
        <v>0</v>
      </c>
    </row>
    <row r="101" spans="1:8" ht="15.75" x14ac:dyDescent="0.25">
      <c r="A101" s="50" t="s">
        <v>28</v>
      </c>
      <c r="B101" s="34" t="s">
        <v>29</v>
      </c>
      <c r="C101" s="15" t="s">
        <v>8</v>
      </c>
      <c r="D101" s="27">
        <f>+'[6]PLAN BUREAUX'!$E$87</f>
        <v>6.08</v>
      </c>
      <c r="E101" s="35">
        <v>13500</v>
      </c>
      <c r="F101" s="35"/>
      <c r="G101" s="35"/>
      <c r="H101" s="35">
        <f t="shared" si="10"/>
        <v>82080</v>
      </c>
    </row>
    <row r="102" spans="1:8" ht="15.75" x14ac:dyDescent="0.25">
      <c r="A102" s="50" t="s">
        <v>30</v>
      </c>
      <c r="B102" s="34" t="s">
        <v>33</v>
      </c>
      <c r="C102" s="15" t="s">
        <v>8</v>
      </c>
      <c r="D102" s="27">
        <f>+'[6]PLAN BUREAUX'!$E$88</f>
        <v>31.939999999999998</v>
      </c>
      <c r="E102" s="35">
        <v>11000</v>
      </c>
      <c r="F102" s="35"/>
      <c r="G102" s="35"/>
      <c r="H102" s="35">
        <f t="shared" si="10"/>
        <v>351340</v>
      </c>
    </row>
    <row r="103" spans="1:8" ht="15.75" x14ac:dyDescent="0.25">
      <c r="A103" s="50" t="s">
        <v>31</v>
      </c>
      <c r="B103" s="34" t="s">
        <v>34</v>
      </c>
      <c r="C103" s="15" t="s">
        <v>8</v>
      </c>
      <c r="D103" s="33">
        <f>+'[6]PLAN BUREAUX'!$E$89</f>
        <v>0</v>
      </c>
      <c r="E103" s="35">
        <v>23000</v>
      </c>
      <c r="F103" s="35"/>
      <c r="G103" s="35"/>
      <c r="H103" s="35">
        <f t="shared" si="10"/>
        <v>0</v>
      </c>
    </row>
    <row r="104" spans="1:8" ht="15" x14ac:dyDescent="0.25">
      <c r="A104" s="46" t="s">
        <v>51</v>
      </c>
      <c r="B104" s="37" t="s">
        <v>42</v>
      </c>
      <c r="C104" s="36"/>
      <c r="D104" s="38"/>
      <c r="E104" s="39"/>
      <c r="F104" s="39"/>
      <c r="G104" s="39"/>
      <c r="H104" s="41">
        <f>SUM(H105:H109)</f>
        <v>6909610</v>
      </c>
    </row>
    <row r="105" spans="1:8" ht="15.75" x14ac:dyDescent="0.25">
      <c r="A105" s="50" t="s">
        <v>26</v>
      </c>
      <c r="B105" s="34" t="s">
        <v>35</v>
      </c>
      <c r="C105" s="15" t="s">
        <v>8</v>
      </c>
      <c r="D105" s="27">
        <v>616.78</v>
      </c>
      <c r="E105" s="35">
        <v>10500</v>
      </c>
      <c r="F105" s="35"/>
      <c r="G105" s="35"/>
      <c r="H105" s="35">
        <f t="shared" si="10"/>
        <v>6476190</v>
      </c>
    </row>
    <row r="106" spans="1:8" ht="15.75" x14ac:dyDescent="0.25">
      <c r="A106" s="50" t="s">
        <v>27</v>
      </c>
      <c r="B106" s="34" t="s">
        <v>32</v>
      </c>
      <c r="C106" s="15" t="s">
        <v>8</v>
      </c>
      <c r="D106" s="27">
        <v>0</v>
      </c>
      <c r="E106" s="35">
        <v>15500</v>
      </c>
      <c r="F106" s="35"/>
      <c r="G106" s="35"/>
      <c r="H106" s="35">
        <f t="shared" si="10"/>
        <v>0</v>
      </c>
    </row>
    <row r="107" spans="1:8" ht="15.75" x14ac:dyDescent="0.25">
      <c r="A107" s="50" t="s">
        <v>28</v>
      </c>
      <c r="B107" s="34" t="s">
        <v>29</v>
      </c>
      <c r="C107" s="15" t="s">
        <v>8</v>
      </c>
      <c r="D107" s="27">
        <f>+'[6]PLAN BUREAUX'!$E$98</f>
        <v>6.08</v>
      </c>
      <c r="E107" s="35">
        <v>13500</v>
      </c>
      <c r="F107" s="35"/>
      <c r="G107" s="35"/>
      <c r="H107" s="35">
        <f t="shared" si="10"/>
        <v>82080</v>
      </c>
    </row>
    <row r="108" spans="1:8" ht="15.75" x14ac:dyDescent="0.25">
      <c r="A108" s="50" t="s">
        <v>30</v>
      </c>
      <c r="B108" s="34" t="s">
        <v>33</v>
      </c>
      <c r="C108" s="15" t="s">
        <v>8</v>
      </c>
      <c r="D108" s="27">
        <f>+'[6]PLAN BUREAUX'!$E$99</f>
        <v>31.939999999999998</v>
      </c>
      <c r="E108" s="35">
        <v>11000</v>
      </c>
      <c r="F108" s="35"/>
      <c r="G108" s="35"/>
      <c r="H108" s="35">
        <f t="shared" si="10"/>
        <v>351340</v>
      </c>
    </row>
    <row r="109" spans="1:8" ht="15.75" x14ac:dyDescent="0.25">
      <c r="A109" s="50" t="s">
        <v>31</v>
      </c>
      <c r="B109" s="34" t="s">
        <v>34</v>
      </c>
      <c r="C109" s="15" t="s">
        <v>8</v>
      </c>
      <c r="D109" s="33">
        <f>+'[6]PLAN BUREAUX'!$E$100</f>
        <v>0</v>
      </c>
      <c r="E109" s="35">
        <v>23000</v>
      </c>
      <c r="F109" s="35"/>
      <c r="G109" s="35"/>
      <c r="H109" s="35">
        <f t="shared" si="10"/>
        <v>0</v>
      </c>
    </row>
    <row r="110" spans="1:8" ht="15" x14ac:dyDescent="0.25">
      <c r="A110" s="21"/>
      <c r="B110" s="42" t="s">
        <v>52</v>
      </c>
      <c r="C110" s="43"/>
      <c r="D110" s="44"/>
      <c r="E110" s="45"/>
      <c r="F110" s="45"/>
      <c r="G110" s="45"/>
      <c r="H110" s="47">
        <f>+H111</f>
        <v>17387500</v>
      </c>
    </row>
    <row r="111" spans="1:8" x14ac:dyDescent="0.25">
      <c r="B111" s="11" t="s">
        <v>53</v>
      </c>
      <c r="C111" s="9" t="s">
        <v>54</v>
      </c>
      <c r="D111" s="19">
        <v>535</v>
      </c>
      <c r="E111" s="10">
        <f>+F111+G111</f>
        <v>32500</v>
      </c>
      <c r="F111" s="10">
        <v>25000</v>
      </c>
      <c r="G111" s="10">
        <v>7500</v>
      </c>
      <c r="H111" s="10">
        <f t="shared" ref="H111" si="11">(F111+G111)*D111</f>
        <v>17387500</v>
      </c>
    </row>
    <row r="112" spans="1:8" ht="24" customHeight="1" x14ac:dyDescent="0.25">
      <c r="B112" s="57" t="s">
        <v>20</v>
      </c>
      <c r="C112" s="57"/>
      <c r="D112" s="57"/>
      <c r="E112" s="57"/>
      <c r="F112" s="57"/>
      <c r="G112" s="58"/>
      <c r="H112" s="48">
        <f>+H104+H98+H92+H86+H80+H74+H68+H62+H56+H50+H44+H38+H32+H26+H20+H14+H110</f>
        <v>198484380</v>
      </c>
    </row>
    <row r="113" spans="1:8" ht="24" customHeight="1" x14ac:dyDescent="0.25">
      <c r="A113" s="55" t="s">
        <v>18</v>
      </c>
      <c r="B113" s="55"/>
      <c r="C113" s="55"/>
      <c r="D113" s="55"/>
      <c r="E113" s="55"/>
      <c r="F113" s="55"/>
      <c r="G113" s="55"/>
      <c r="H113" s="56"/>
    </row>
    <row r="114" spans="1:8" x14ac:dyDescent="0.25">
      <c r="A114" s="21"/>
      <c r="B114" s="29" t="s">
        <v>19</v>
      </c>
      <c r="C114" s="30"/>
      <c r="D114" s="31"/>
      <c r="E114" s="32"/>
      <c r="F114" s="32"/>
      <c r="G114" s="32"/>
      <c r="H114" s="32">
        <f>(F114+G114)*D114</f>
        <v>0</v>
      </c>
    </row>
    <row r="115" spans="1:8" x14ac:dyDescent="0.25">
      <c r="A115" s="14"/>
      <c r="B115" s="26" t="s">
        <v>16</v>
      </c>
      <c r="C115" s="15" t="s">
        <v>15</v>
      </c>
      <c r="D115" s="27">
        <f>138.14*17</f>
        <v>2348.3799999999997</v>
      </c>
      <c r="E115" s="54">
        <v>5500</v>
      </c>
      <c r="F115" s="54">
        <v>3500</v>
      </c>
      <c r="G115" s="54">
        <v>2000</v>
      </c>
      <c r="H115" s="54">
        <f>+(D115+D116+D117+D118)*E115</f>
        <v>15102339.999999998</v>
      </c>
    </row>
    <row r="116" spans="1:8" x14ac:dyDescent="0.25">
      <c r="A116" s="14"/>
      <c r="B116" s="14" t="s">
        <v>14</v>
      </c>
      <c r="C116" s="15" t="s">
        <v>15</v>
      </c>
      <c r="D116" s="27">
        <v>132.5</v>
      </c>
      <c r="E116" s="54"/>
      <c r="F116" s="54"/>
      <c r="G116" s="54"/>
      <c r="H116" s="54"/>
    </row>
    <row r="117" spans="1:8" x14ac:dyDescent="0.25">
      <c r="A117" s="14"/>
      <c r="B117" s="28" t="s">
        <v>17</v>
      </c>
      <c r="C117" s="15" t="s">
        <v>15</v>
      </c>
      <c r="D117" s="27">
        <v>132.5</v>
      </c>
      <c r="E117" s="54"/>
      <c r="F117" s="54"/>
      <c r="G117" s="54"/>
      <c r="H117" s="54"/>
    </row>
    <row r="118" spans="1:8" x14ac:dyDescent="0.25">
      <c r="A118" s="14"/>
      <c r="B118" s="28" t="s">
        <v>51</v>
      </c>
      <c r="C118" s="14" t="s">
        <v>15</v>
      </c>
      <c r="D118" s="33">
        <v>132.5</v>
      </c>
      <c r="E118" s="54"/>
      <c r="F118" s="54"/>
      <c r="G118" s="54"/>
      <c r="H118" s="54"/>
    </row>
  </sheetData>
  <mergeCells count="9">
    <mergeCell ref="A2:H2"/>
    <mergeCell ref="A3:H3"/>
    <mergeCell ref="A4:G4"/>
    <mergeCell ref="H115:H118"/>
    <mergeCell ref="E115:E118"/>
    <mergeCell ref="F115:F118"/>
    <mergeCell ref="G115:G118"/>
    <mergeCell ref="A113:H113"/>
    <mergeCell ref="B112:G112"/>
  </mergeCells>
  <printOptions horizontalCentered="1"/>
  <pageMargins left="0.25" right="0.25" top="0.75" bottom="0.75" header="0.3" footer="0.3"/>
  <pageSetup paperSize="9" scale="68" fitToHeight="0" orientation="landscape" r:id="rId1"/>
  <headerFooter>
    <oddFooter>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8"/>
  <sheetViews>
    <sheetView workbookViewId="0">
      <selection activeCell="B9" sqref="B9"/>
    </sheetView>
  </sheetViews>
  <sheetFormatPr baseColWidth="10" defaultRowHeight="15" x14ac:dyDescent="0.25"/>
  <cols>
    <col min="1" max="1" width="13.7109375" bestFit="1" customWidth="1"/>
  </cols>
  <sheetData>
    <row r="6" spans="1:2" x14ac:dyDescent="0.25">
      <c r="A6" t="s">
        <v>68</v>
      </c>
      <c r="B6">
        <f>+'FAUX PLAFONDS'!D45+'FAUX PLAFONDS'!D57+'FAUX PLAFONDS'!D63+'FAUX PLAFONDS'!D69+'FAUX PLAFONDS'!D75+'FAUX PLAFONDS'!D81+'FAUX PLAFONDS'!D87+'FAUX PLAFONDS'!D93+'FAUX PLAFONDS'!D99+'FAUX PLAFONDS'!D105</f>
        <v>16421.760000000002</v>
      </c>
    </row>
    <row r="7" spans="1:2" x14ac:dyDescent="0.25">
      <c r="A7" t="s">
        <v>69</v>
      </c>
      <c r="B7">
        <f>+'FAUX PLAFONDS'!D54+'FAUX PLAFONDS'!D60+'FAUX PLAFONDS'!D66+'FAUX PLAFONDS'!D72+'FAUX PLAFONDS'!D78+'FAUX PLAFONDS'!D84+'FAUX PLAFONDS'!D90+'FAUX PLAFONDS'!D96+'FAUX PLAFONDS'!D102+'FAUX PLAFONDS'!D108</f>
        <v>638.80000000000018</v>
      </c>
    </row>
    <row r="8" spans="1:2" x14ac:dyDescent="0.25">
      <c r="A8" t="s">
        <v>70</v>
      </c>
      <c r="B8">
        <f>+'FAUX PLAFONDS'!D107+'FAUX PLAFONDS'!D101+'FAUX PLAFONDS'!D95+'FAUX PLAFONDS'!D89+'FAUX PLAFONDS'!D83+'FAUX PLAFONDS'!D77+'FAUX PLAFONDS'!D71+'FAUX PLAFONDS'!D65+'FAUX PLAFONDS'!D59+'FAUX PLAFONDS'!D53+'FAUX PLAFONDS'!D47+'FAUX PLAFONDS'!D41+'FAUX PLAFONDS'!D35+'FAUX PLAFONDS'!D29+'FAUX PLAFONDS'!D23+'FAUX PLAFONDS'!D17</f>
        <v>121.60000000000001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FAUX PLAFONDS</vt:lpstr>
      <vt:lpstr>Feuil1</vt:lpstr>
      <vt:lpstr>'FAUX PLAFONDS'!Impression_des_titres</vt:lpstr>
      <vt:lpstr>'FAUX PLAFONDS'!Zone_d_impression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Micheline Salameh</dc:creator>
  <cp:lastModifiedBy>JAWAD</cp:lastModifiedBy>
  <cp:lastPrinted>2022-10-18T16:34:18Z</cp:lastPrinted>
  <dcterms:created xsi:type="dcterms:W3CDTF">2022-05-27T14:49:45Z</dcterms:created>
  <dcterms:modified xsi:type="dcterms:W3CDTF">2023-06-21T13:29:01Z</dcterms:modified>
</cp:coreProperties>
</file>