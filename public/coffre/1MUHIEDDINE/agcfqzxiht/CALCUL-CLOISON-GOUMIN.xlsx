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1" sheetId="1" r:id="rId1"/>
    <sheet name="PS4" sheetId="2" r:id="rId2"/>
    <sheet name="PS3" sheetId="3" r:id="rId3"/>
    <sheet name="P0" sheetId="5" r:id="rId4"/>
    <sheet name="PS1" sheetId="6" r:id="rId5"/>
    <sheet name="PS2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3" i="7"/>
  <c r="F4" i="7"/>
  <c r="F5" i="7"/>
  <c r="F6" i="7"/>
  <c r="F7" i="7"/>
  <c r="F8" i="7"/>
  <c r="F9" i="7"/>
  <c r="F10" i="7"/>
  <c r="F11" i="7"/>
  <c r="F12" i="7"/>
  <c r="F13" i="7"/>
  <c r="F14" i="7"/>
  <c r="F3" i="5"/>
  <c r="F4" i="5"/>
  <c r="F5" i="5"/>
  <c r="F6" i="5"/>
  <c r="F7" i="5"/>
  <c r="F8" i="5"/>
  <c r="F9" i="5"/>
  <c r="F10" i="5"/>
  <c r="F11" i="5"/>
  <c r="F12" i="5"/>
  <c r="F13" i="5"/>
  <c r="F14" i="5"/>
  <c r="F4" i="3"/>
  <c r="F15" i="3" s="1"/>
  <c r="F5" i="3"/>
  <c r="F6" i="3"/>
  <c r="F7" i="3"/>
  <c r="F8" i="3"/>
  <c r="F9" i="3"/>
  <c r="F10" i="3"/>
  <c r="F11" i="3"/>
  <c r="F12" i="3"/>
  <c r="F13" i="3"/>
  <c r="F14" i="3"/>
  <c r="F3" i="1"/>
  <c r="F4" i="1"/>
  <c r="F5" i="1"/>
  <c r="F6" i="1"/>
  <c r="F7" i="1"/>
  <c r="F8" i="1"/>
  <c r="F9" i="1"/>
  <c r="F10" i="1"/>
  <c r="F11" i="1"/>
  <c r="F12" i="1"/>
  <c r="F13" i="1"/>
  <c r="F14" i="1"/>
  <c r="D15" i="7"/>
  <c r="F2" i="7"/>
  <c r="D15" i="6"/>
  <c r="F2" i="6"/>
  <c r="D15" i="5"/>
  <c r="F2" i="5"/>
  <c r="D15" i="3"/>
  <c r="F3" i="3"/>
  <c r="D15" i="2"/>
  <c r="F3" i="2"/>
  <c r="F4" i="2"/>
  <c r="F5" i="2"/>
  <c r="F6" i="2"/>
  <c r="F7" i="2"/>
  <c r="F8" i="2"/>
  <c r="F9" i="2"/>
  <c r="F10" i="2"/>
  <c r="F11" i="2"/>
  <c r="F12" i="2"/>
  <c r="F13" i="2"/>
  <c r="F14" i="2"/>
  <c r="F2" i="2"/>
  <c r="D15" i="1"/>
  <c r="F15" i="7" l="1"/>
  <c r="F15" i="6"/>
  <c r="F15" i="5"/>
  <c r="F15" i="2"/>
  <c r="F15" i="1"/>
  <c r="F2" i="1"/>
</calcChain>
</file>

<file path=xl/sharedStrings.xml><?xml version="1.0" encoding="utf-8"?>
<sst xmlns="http://schemas.openxmlformats.org/spreadsheetml/2006/main" count="104" uniqueCount="24">
  <si>
    <t>CLOISON KM120/70 4KS13 - 47db - EI60 - 4.5M - 2KS13 - M70 - 2KS13</t>
  </si>
  <si>
    <t>CLOISON KM120/70 2KS13 - 2KH13 - 47db - EI60 - 4.5M - 2KS13 - M70 - 2KS13</t>
  </si>
  <si>
    <t>CLOISON KM120/70 4KH13 - 47db - EI60- 4.5M - 2KH13 - M70 - 2KH13</t>
  </si>
  <si>
    <t>CLOISON KMA 22 - 4KS13 - 59db - EI60- 3.4M - 2KS13 - M70 - VIDE - M70- 2KS13</t>
  </si>
  <si>
    <t>CLOISON KMA 22 -  2KS13 - 2KH13 - 59db - EI60 - 3.4M - 2KS13 - M70 - 2KH13</t>
  </si>
  <si>
    <t>CLOISON KMA 22 - 4KH13 - 59db - EI60- 3.4M - 2KH13 - M70 - VIDE - M70 - 2KH13</t>
  </si>
  <si>
    <t>CONTRE-CLOISON CC113 - KS13 - 3M</t>
  </si>
  <si>
    <t>CONTRE-CLOISON CC 213 - 2KS3 - REI30 - 3.5M</t>
  </si>
  <si>
    <t>ML</t>
  </si>
  <si>
    <t>²</t>
  </si>
  <si>
    <t>CLOISONS DU PLAN P1 - GOUMIN</t>
  </si>
  <si>
    <t>HT</t>
  </si>
  <si>
    <t>M²</t>
  </si>
  <si>
    <t>CLOISONS DU PLAN PS4 - GOUMIN</t>
  </si>
  <si>
    <t>CLOISON EN BLOC DE BÉTON EI120</t>
  </si>
  <si>
    <t>CLOISON DE PROTECTION RX-KM120/70</t>
  </si>
  <si>
    <t>CONTRE CLOISON 213 RX</t>
  </si>
  <si>
    <t>CLOISONS DU PLAN PS3 - GOUMIN</t>
  </si>
  <si>
    <t xml:space="preserve"> CLOISON 98/48 - 4KF13 - 40DB-EI120 - 3.5M</t>
  </si>
  <si>
    <t>CLOISON 98/48 - 4KS13 - 38DB-EI60 - 3.5M</t>
  </si>
  <si>
    <t>CLOISONS DU PLAN P0 - GOUMIN</t>
  </si>
  <si>
    <t>CLOISONS DU PLAN PS1 - GOUMIN</t>
  </si>
  <si>
    <t>CLOISONS DU PLAN PS2 - GOUMIN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</si>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</sst>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3" borderId="1" xfId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3" borderId="1" xfId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1" applyFill="1" applyBorder="1" applyAlignment="1">
      <alignment vertical="center"/>
    </xf>
    <xf numFmtId="0" fontId="2" fillId="4" borderId="1" xfId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2" borderId="0" xfId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4" fontId="8" fillId="0" borderId="1" xfId="0" applyNumberFormat="1" applyFont="1" applyBorder="1"/>
    <xf numFmtId="4" fontId="4" fillId="0" borderId="1" xfId="0" applyNumberFormat="1" applyFont="1" applyBorder="1"/>
    <xf numFmtId="4" fontId="5" fillId="3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/>
    <xf numFmtId="4" fontId="9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/>
    <xf numFmtId="4" fontId="11" fillId="0" borderId="1" xfId="0" applyNumberFormat="1" applyFont="1" applyBorder="1"/>
    <xf numFmtId="4" fontId="4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13" fillId="4" borderId="1" xfId="0" applyNumberFormat="1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center" vertical="center"/>
    </xf>
    <xf numFmtId="4" fontId="15" fillId="4" borderId="1" xfId="0" applyNumberFormat="1" applyFont="1" applyFill="1" applyBorder="1" applyAlignment="1">
      <alignment horizontal="center" vertical="center"/>
    </xf>
    <xf numFmtId="4" fontId="16" fillId="4" borderId="1" xfId="0" applyNumberFormat="1" applyFont="1" applyFill="1" applyBorder="1" applyAlignment="1">
      <alignment horizontal="center" vertical="center"/>
    </xf>
    <xf numFmtId="4" fontId="15" fillId="4" borderId="0" xfId="0" applyNumberFormat="1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4" fontId="17" fillId="4" borderId="0" xfId="0" applyNumberFormat="1" applyFont="1" applyFill="1" applyAlignment="1">
      <alignment horizontal="center" vertical="center"/>
    </xf>
    <xf numFmtId="4" fontId="18" fillId="4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4" fontId="19" fillId="0" borderId="1" xfId="0" applyNumberFormat="1" applyFont="1" applyBorder="1"/>
    <xf numFmtId="4" fontId="3" fillId="3" borderId="1" xfId="0" applyNumberFormat="1" applyFont="1" applyFill="1" applyBorder="1" applyAlignment="1">
      <alignment horizontal="center" vertical="center"/>
    </xf>
    <xf numFmtId="4" fontId="20" fillId="4" borderId="1" xfId="0" applyNumberFormat="1" applyFont="1" applyFill="1" applyBorder="1" applyAlignment="1">
      <alignment horizontal="center" vertical="center"/>
    </xf>
    <xf numFmtId="4" fontId="21" fillId="4" borderId="1" xfId="0" applyNumberFormat="1" applyFont="1" applyFill="1" applyBorder="1" applyAlignment="1">
      <alignment horizontal="center" vertical="center"/>
    </xf>
    <xf numFmtId="4" fontId="0" fillId="0" borderId="1" xfId="0" applyNumberFormat="1" applyBorder="1"/>
    <xf numFmtId="4" fontId="7" fillId="0" borderId="1" xfId="0" applyNumberFormat="1" applyFont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3.jpeg"/><Relationship Id="rId11" Type="http://schemas.openxmlformats.org/officeDocument/2006/relationships/image" Target="../media/image11.jpeg"/><Relationship Id="rId5" Type="http://schemas.openxmlformats.org/officeDocument/2006/relationships/image" Target="../media/image12.jpeg"/><Relationship Id="rId10" Type="http://schemas.openxmlformats.org/officeDocument/2006/relationships/image" Target="../media/image1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3.jpeg"/><Relationship Id="rId11" Type="http://schemas.openxmlformats.org/officeDocument/2006/relationships/image" Target="../media/image16.jpeg"/><Relationship Id="rId5" Type="http://schemas.openxmlformats.org/officeDocument/2006/relationships/image" Target="../media/image12.jpeg"/><Relationship Id="rId10" Type="http://schemas.openxmlformats.org/officeDocument/2006/relationships/image" Target="../media/image1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3.jpeg"/><Relationship Id="rId11" Type="http://schemas.openxmlformats.org/officeDocument/2006/relationships/image" Target="../media/image18.jpeg"/><Relationship Id="rId5" Type="http://schemas.openxmlformats.org/officeDocument/2006/relationships/image" Target="../media/image12.jpeg"/><Relationship Id="rId10" Type="http://schemas.openxmlformats.org/officeDocument/2006/relationships/image" Target="../media/image17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3.jpeg"/><Relationship Id="rId11" Type="http://schemas.openxmlformats.org/officeDocument/2006/relationships/image" Target="../media/image18.jpeg"/><Relationship Id="rId5" Type="http://schemas.openxmlformats.org/officeDocument/2006/relationships/image" Target="../media/image12.jpeg"/><Relationship Id="rId10" Type="http://schemas.openxmlformats.org/officeDocument/2006/relationships/image" Target="../media/image17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13.jpeg"/><Relationship Id="rId11" Type="http://schemas.openxmlformats.org/officeDocument/2006/relationships/image" Target="../media/image18.jpeg"/><Relationship Id="rId5" Type="http://schemas.openxmlformats.org/officeDocument/2006/relationships/image" Target="../media/image12.jpeg"/><Relationship Id="rId10" Type="http://schemas.openxmlformats.org/officeDocument/2006/relationships/image" Target="../media/image17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57150</xdr:rowOff>
    </xdr:from>
    <xdr:to>
      <xdr:col>1</xdr:col>
      <xdr:colOff>1328012</xdr:colOff>
      <xdr:row>1</xdr:row>
      <xdr:rowOff>304800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47650"/>
          <a:ext cx="1261336" cy="2476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</xdr:row>
      <xdr:rowOff>47625</xdr:rowOff>
    </xdr:from>
    <xdr:to>
      <xdr:col>1</xdr:col>
      <xdr:colOff>1300001</xdr:colOff>
      <xdr:row>2</xdr:row>
      <xdr:rowOff>285750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19125"/>
          <a:ext cx="1204751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3</xdr:row>
      <xdr:rowOff>95251</xdr:rowOff>
    </xdr:from>
    <xdr:to>
      <xdr:col>1</xdr:col>
      <xdr:colOff>1257301</xdr:colOff>
      <xdr:row>3</xdr:row>
      <xdr:rowOff>308849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1047751"/>
          <a:ext cx="1162050" cy="213598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4</xdr:row>
      <xdr:rowOff>85726</xdr:rowOff>
    </xdr:from>
    <xdr:to>
      <xdr:col>1</xdr:col>
      <xdr:colOff>1284874</xdr:colOff>
      <xdr:row>4</xdr:row>
      <xdr:rowOff>314326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1590676"/>
          <a:ext cx="1199148" cy="2286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5</xdr:row>
      <xdr:rowOff>114299</xdr:rowOff>
    </xdr:from>
    <xdr:to>
      <xdr:col>1</xdr:col>
      <xdr:colOff>1289338</xdr:colOff>
      <xdr:row>5</xdr:row>
      <xdr:rowOff>333374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" y="1828799"/>
          <a:ext cx="1175039" cy="2190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95251</xdr:rowOff>
    </xdr:from>
    <xdr:to>
      <xdr:col>1</xdr:col>
      <xdr:colOff>1277042</xdr:colOff>
      <xdr:row>6</xdr:row>
      <xdr:rowOff>314325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190751"/>
          <a:ext cx="1181792" cy="219074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7</xdr:row>
      <xdr:rowOff>66677</xdr:rowOff>
    </xdr:from>
    <xdr:to>
      <xdr:col>1</xdr:col>
      <xdr:colOff>1260286</xdr:colOff>
      <xdr:row>7</xdr:row>
      <xdr:rowOff>276225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2543177"/>
          <a:ext cx="1155510" cy="209548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8</xdr:row>
      <xdr:rowOff>76200</xdr:rowOff>
    </xdr:from>
    <xdr:to>
      <xdr:col>1</xdr:col>
      <xdr:colOff>1276350</xdr:colOff>
      <xdr:row>8</xdr:row>
      <xdr:rowOff>273791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2933700"/>
          <a:ext cx="1171574" cy="197591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11</xdr:row>
      <xdr:rowOff>19052</xdr:rowOff>
    </xdr:from>
    <xdr:to>
      <xdr:col>1</xdr:col>
      <xdr:colOff>1209675</xdr:colOff>
      <xdr:row>11</xdr:row>
      <xdr:rowOff>323850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3810002"/>
          <a:ext cx="1104899" cy="304798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12</xdr:row>
      <xdr:rowOff>28576</xdr:rowOff>
    </xdr:from>
    <xdr:to>
      <xdr:col>1</xdr:col>
      <xdr:colOff>1200150</xdr:colOff>
      <xdr:row>12</xdr:row>
      <xdr:rowOff>344434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200526"/>
          <a:ext cx="1095375" cy="31585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13</xdr:row>
      <xdr:rowOff>47626</xdr:rowOff>
    </xdr:from>
    <xdr:to>
      <xdr:col>1</xdr:col>
      <xdr:colOff>1181100</xdr:colOff>
      <xdr:row>13</xdr:row>
      <xdr:rowOff>355998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600576"/>
          <a:ext cx="1047750" cy="308372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9</xdr:row>
      <xdr:rowOff>76200</xdr:rowOff>
    </xdr:from>
    <xdr:to>
      <xdr:col>1</xdr:col>
      <xdr:colOff>1238250</xdr:colOff>
      <xdr:row>9</xdr:row>
      <xdr:rowOff>285750</xdr:rowOff>
    </xdr:to>
    <xdr:sp macro="" textlink="">
      <xdr:nvSpPr>
        <xdr:cNvPr id="14" name="Rectangle 13"/>
        <xdr:cNvSpPr/>
      </xdr:nvSpPr>
      <xdr:spPr>
        <a:xfrm>
          <a:off x="409575" y="3486150"/>
          <a:ext cx="1123950" cy="2095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123825</xdr:colOff>
      <xdr:row>10</xdr:row>
      <xdr:rowOff>104775</xdr:rowOff>
    </xdr:from>
    <xdr:to>
      <xdr:col>1</xdr:col>
      <xdr:colOff>1247775</xdr:colOff>
      <xdr:row>10</xdr:row>
      <xdr:rowOff>314325</xdr:rowOff>
    </xdr:to>
    <xdr:sp macro="" textlink="">
      <xdr:nvSpPr>
        <xdr:cNvPr id="15" name="Rectangle 14"/>
        <xdr:cNvSpPr/>
      </xdr:nvSpPr>
      <xdr:spPr>
        <a:xfrm>
          <a:off x="419100" y="3895725"/>
          <a:ext cx="1123950" cy="2095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57150</xdr:rowOff>
    </xdr:from>
    <xdr:to>
      <xdr:col>1</xdr:col>
      <xdr:colOff>1238250</xdr:colOff>
      <xdr:row>1</xdr:row>
      <xdr:rowOff>357953</xdr:rowOff>
    </xdr:to>
    <xdr:pic>
      <xdr:nvPicPr>
        <xdr:cNvPr id="74" name="Image 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419100"/>
          <a:ext cx="1171574" cy="30080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</xdr:row>
      <xdr:rowOff>47625</xdr:rowOff>
    </xdr:from>
    <xdr:to>
      <xdr:col>1</xdr:col>
      <xdr:colOff>1226987</xdr:colOff>
      <xdr:row>2</xdr:row>
      <xdr:rowOff>342900</xdr:rowOff>
    </xdr:to>
    <xdr:pic>
      <xdr:nvPicPr>
        <xdr:cNvPr id="75" name="Image 7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790575"/>
          <a:ext cx="1131736" cy="2952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3</xdr:row>
      <xdr:rowOff>66676</xdr:rowOff>
    </xdr:from>
    <xdr:to>
      <xdr:col>1</xdr:col>
      <xdr:colOff>1181100</xdr:colOff>
      <xdr:row>3</xdr:row>
      <xdr:rowOff>337471</xdr:rowOff>
    </xdr:to>
    <xdr:pic>
      <xdr:nvPicPr>
        <xdr:cNvPr id="76" name="Image 7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1190626"/>
          <a:ext cx="1085849" cy="2707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4</xdr:row>
      <xdr:rowOff>57151</xdr:rowOff>
    </xdr:from>
    <xdr:to>
      <xdr:col>1</xdr:col>
      <xdr:colOff>1219450</xdr:colOff>
      <xdr:row>4</xdr:row>
      <xdr:rowOff>342900</xdr:rowOff>
    </xdr:to>
    <xdr:pic>
      <xdr:nvPicPr>
        <xdr:cNvPr id="77" name="Image 7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1562101"/>
          <a:ext cx="1124199" cy="285749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5</xdr:row>
      <xdr:rowOff>76199</xdr:rowOff>
    </xdr:from>
    <xdr:to>
      <xdr:col>1</xdr:col>
      <xdr:colOff>1194677</xdr:colOff>
      <xdr:row>5</xdr:row>
      <xdr:rowOff>342900</xdr:rowOff>
    </xdr:to>
    <xdr:pic>
      <xdr:nvPicPr>
        <xdr:cNvPr id="78" name="Image 7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1962149"/>
          <a:ext cx="1061328" cy="26670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6</xdr:row>
      <xdr:rowOff>66676</xdr:rowOff>
    </xdr:from>
    <xdr:to>
      <xdr:col>1</xdr:col>
      <xdr:colOff>1200150</xdr:colOff>
      <xdr:row>6</xdr:row>
      <xdr:rowOff>342738</xdr:rowOff>
    </xdr:to>
    <xdr:pic>
      <xdr:nvPicPr>
        <xdr:cNvPr id="79" name="Image 7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333626"/>
          <a:ext cx="1104900" cy="27606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104776</xdr:colOff>
      <xdr:row>7</xdr:row>
      <xdr:rowOff>66677</xdr:rowOff>
    </xdr:from>
    <xdr:to>
      <xdr:col>1</xdr:col>
      <xdr:colOff>1209675</xdr:colOff>
      <xdr:row>7</xdr:row>
      <xdr:rowOff>339909</xdr:rowOff>
    </xdr:to>
    <xdr:pic>
      <xdr:nvPicPr>
        <xdr:cNvPr id="80" name="Image 7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1" y="2714627"/>
          <a:ext cx="1104899" cy="27323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104777</xdr:colOff>
      <xdr:row>8</xdr:row>
      <xdr:rowOff>76201</xdr:rowOff>
    </xdr:from>
    <xdr:to>
      <xdr:col>1</xdr:col>
      <xdr:colOff>1085851</xdr:colOff>
      <xdr:row>8</xdr:row>
      <xdr:rowOff>305473</xdr:rowOff>
    </xdr:to>
    <xdr:pic>
      <xdr:nvPicPr>
        <xdr:cNvPr id="81" name="Image 8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2" y="3105151"/>
          <a:ext cx="981074" cy="22927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85726</xdr:colOff>
      <xdr:row>11</xdr:row>
      <xdr:rowOff>28575</xdr:rowOff>
    </xdr:from>
    <xdr:to>
      <xdr:col>1</xdr:col>
      <xdr:colOff>1190625</xdr:colOff>
      <xdr:row>11</xdr:row>
      <xdr:rowOff>353040</xdr:rowOff>
    </xdr:to>
    <xdr:pic>
      <xdr:nvPicPr>
        <xdr:cNvPr id="87" name="Image 8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200525"/>
          <a:ext cx="1104899" cy="32446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12</xdr:row>
      <xdr:rowOff>28576</xdr:rowOff>
    </xdr:from>
    <xdr:to>
      <xdr:col>1</xdr:col>
      <xdr:colOff>1190625</xdr:colOff>
      <xdr:row>12</xdr:row>
      <xdr:rowOff>330873</xdr:rowOff>
    </xdr:to>
    <xdr:pic>
      <xdr:nvPicPr>
        <xdr:cNvPr id="88" name="Image 8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581526"/>
          <a:ext cx="1085850" cy="302297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13</xdr:row>
      <xdr:rowOff>47625</xdr:rowOff>
    </xdr:from>
    <xdr:to>
      <xdr:col>1</xdr:col>
      <xdr:colOff>1200150</xdr:colOff>
      <xdr:row>13</xdr:row>
      <xdr:rowOff>323850</xdr:rowOff>
    </xdr:to>
    <xdr:pic>
      <xdr:nvPicPr>
        <xdr:cNvPr id="89" name="Image 88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4981575"/>
          <a:ext cx="1066800" cy="276225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9</xdr:row>
      <xdr:rowOff>76200</xdr:rowOff>
    </xdr:from>
    <xdr:to>
      <xdr:col>1</xdr:col>
      <xdr:colOff>1238250</xdr:colOff>
      <xdr:row>9</xdr:row>
      <xdr:rowOff>285750</xdr:rowOff>
    </xdr:to>
    <xdr:sp macro="" textlink="">
      <xdr:nvSpPr>
        <xdr:cNvPr id="90" name="Rectangle 89"/>
        <xdr:cNvSpPr/>
      </xdr:nvSpPr>
      <xdr:spPr>
        <a:xfrm>
          <a:off x="409575" y="3486150"/>
          <a:ext cx="1123950" cy="2095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123825</xdr:colOff>
      <xdr:row>10</xdr:row>
      <xdr:rowOff>104775</xdr:rowOff>
    </xdr:from>
    <xdr:to>
      <xdr:col>1</xdr:col>
      <xdr:colOff>1200150</xdr:colOff>
      <xdr:row>10</xdr:row>
      <xdr:rowOff>314325</xdr:rowOff>
    </xdr:to>
    <xdr:sp macro="" textlink="">
      <xdr:nvSpPr>
        <xdr:cNvPr id="91" name="Rectangle 90"/>
        <xdr:cNvSpPr/>
      </xdr:nvSpPr>
      <xdr:spPr>
        <a:xfrm>
          <a:off x="419100" y="3895725"/>
          <a:ext cx="1076325" cy="2095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47625</xdr:rowOff>
    </xdr:from>
    <xdr:to>
      <xdr:col>1</xdr:col>
      <xdr:colOff>1085850</xdr:colOff>
      <xdr:row>1</xdr:row>
      <xdr:rowOff>351066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409575"/>
          <a:ext cx="942974" cy="303441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2</xdr:row>
      <xdr:rowOff>38101</xdr:rowOff>
    </xdr:from>
    <xdr:to>
      <xdr:col>1</xdr:col>
      <xdr:colOff>1104900</xdr:colOff>
      <xdr:row>2</xdr:row>
      <xdr:rowOff>344491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6" y="781051"/>
          <a:ext cx="933449" cy="306390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3</xdr:row>
      <xdr:rowOff>19051</xdr:rowOff>
    </xdr:from>
    <xdr:to>
      <xdr:col>1</xdr:col>
      <xdr:colOff>1085923</xdr:colOff>
      <xdr:row>3</xdr:row>
      <xdr:rowOff>314324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1" y="1143001"/>
          <a:ext cx="923997" cy="295273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4</xdr:row>
      <xdr:rowOff>19051</xdr:rowOff>
    </xdr:from>
    <xdr:to>
      <xdr:col>1</xdr:col>
      <xdr:colOff>1090574</xdr:colOff>
      <xdr:row>4</xdr:row>
      <xdr:rowOff>333374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6" y="1524001"/>
          <a:ext cx="976273" cy="314323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5</xdr:row>
      <xdr:rowOff>47624</xdr:rowOff>
    </xdr:from>
    <xdr:to>
      <xdr:col>1</xdr:col>
      <xdr:colOff>1085850</xdr:colOff>
      <xdr:row>5</xdr:row>
      <xdr:rowOff>352287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49" y="1933574"/>
          <a:ext cx="942976" cy="304663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6</xdr:row>
      <xdr:rowOff>28576</xdr:rowOff>
    </xdr:from>
    <xdr:to>
      <xdr:col>1</xdr:col>
      <xdr:colOff>1085850</xdr:colOff>
      <xdr:row>6</xdr:row>
      <xdr:rowOff>335287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95526"/>
          <a:ext cx="962025" cy="306711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7</xdr:row>
      <xdr:rowOff>9526</xdr:rowOff>
    </xdr:from>
    <xdr:to>
      <xdr:col>1</xdr:col>
      <xdr:colOff>1108185</xdr:colOff>
      <xdr:row>7</xdr:row>
      <xdr:rowOff>323849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6" y="2657476"/>
          <a:ext cx="993884" cy="314323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133352</xdr:colOff>
      <xdr:row>8</xdr:row>
      <xdr:rowOff>47626</xdr:rowOff>
    </xdr:from>
    <xdr:to>
      <xdr:col>1</xdr:col>
      <xdr:colOff>1095376</xdr:colOff>
      <xdr:row>8</xdr:row>
      <xdr:rowOff>337668</xdr:rowOff>
    </xdr:to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7" y="3076576"/>
          <a:ext cx="962024" cy="290042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11</xdr:row>
      <xdr:rowOff>28575</xdr:rowOff>
    </xdr:from>
    <xdr:to>
      <xdr:col>1</xdr:col>
      <xdr:colOff>1085850</xdr:colOff>
      <xdr:row>11</xdr:row>
      <xdr:rowOff>360160</xdr:rowOff>
    </xdr:to>
    <xdr:pic>
      <xdr:nvPicPr>
        <xdr:cNvPr id="23" name="Image 2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6" y="4200525"/>
          <a:ext cx="914399" cy="3315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12</xdr:row>
      <xdr:rowOff>28576</xdr:rowOff>
    </xdr:from>
    <xdr:to>
      <xdr:col>1</xdr:col>
      <xdr:colOff>1066801</xdr:colOff>
      <xdr:row>12</xdr:row>
      <xdr:rowOff>361087</xdr:rowOff>
    </xdr:to>
    <xdr:pic>
      <xdr:nvPicPr>
        <xdr:cNvPr id="24" name="Image 2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6" y="4581526"/>
          <a:ext cx="895350" cy="33251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13</xdr:row>
      <xdr:rowOff>68263</xdr:rowOff>
    </xdr:from>
    <xdr:to>
      <xdr:col>1</xdr:col>
      <xdr:colOff>1095375</xdr:colOff>
      <xdr:row>13</xdr:row>
      <xdr:rowOff>337344</xdr:rowOff>
    </xdr:to>
    <xdr:pic>
      <xdr:nvPicPr>
        <xdr:cNvPr id="25" name="Image 24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531" y="4949826"/>
          <a:ext cx="952500" cy="269081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9</xdr:row>
      <xdr:rowOff>66675</xdr:rowOff>
    </xdr:from>
    <xdr:to>
      <xdr:col>1</xdr:col>
      <xdr:colOff>1114425</xdr:colOff>
      <xdr:row>9</xdr:row>
      <xdr:rowOff>314325</xdr:rowOff>
    </xdr:to>
    <xdr:sp macro="" textlink="">
      <xdr:nvSpPr>
        <xdr:cNvPr id="26" name="Rectangle 25"/>
        <xdr:cNvSpPr/>
      </xdr:nvSpPr>
      <xdr:spPr>
        <a:xfrm>
          <a:off x="447675" y="3476625"/>
          <a:ext cx="962025" cy="2476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152400</xdr:colOff>
      <xdr:row>10</xdr:row>
      <xdr:rowOff>66675</xdr:rowOff>
    </xdr:from>
    <xdr:to>
      <xdr:col>1</xdr:col>
      <xdr:colOff>1114425</xdr:colOff>
      <xdr:row>10</xdr:row>
      <xdr:rowOff>304800</xdr:rowOff>
    </xdr:to>
    <xdr:sp macro="" textlink="">
      <xdr:nvSpPr>
        <xdr:cNvPr id="27" name="Rectangle 26"/>
        <xdr:cNvSpPr/>
      </xdr:nvSpPr>
      <xdr:spPr>
        <a:xfrm>
          <a:off x="447675" y="3857625"/>
          <a:ext cx="962025" cy="23812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47625</xdr:rowOff>
    </xdr:from>
    <xdr:to>
      <xdr:col>1</xdr:col>
      <xdr:colOff>1000125</xdr:colOff>
      <xdr:row>1</xdr:row>
      <xdr:rowOff>356962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409575"/>
          <a:ext cx="857249" cy="30933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</xdr:row>
      <xdr:rowOff>28576</xdr:rowOff>
    </xdr:from>
    <xdr:to>
      <xdr:col>1</xdr:col>
      <xdr:colOff>1009649</xdr:colOff>
      <xdr:row>2</xdr:row>
      <xdr:rowOff>348005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771526"/>
          <a:ext cx="866773" cy="319429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161927</xdr:colOff>
      <xdr:row>3</xdr:row>
      <xdr:rowOff>19052</xdr:rowOff>
    </xdr:from>
    <xdr:to>
      <xdr:col>1</xdr:col>
      <xdr:colOff>1000125</xdr:colOff>
      <xdr:row>3</xdr:row>
      <xdr:rowOff>344544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2" y="1143002"/>
          <a:ext cx="838198" cy="32549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4</xdr:row>
      <xdr:rowOff>38102</xdr:rowOff>
    </xdr:from>
    <xdr:to>
      <xdr:col>1</xdr:col>
      <xdr:colOff>1000124</xdr:colOff>
      <xdr:row>5</xdr:row>
      <xdr:rowOff>6798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6" y="1543052"/>
          <a:ext cx="847723" cy="349696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5</xdr:row>
      <xdr:rowOff>38100</xdr:rowOff>
    </xdr:from>
    <xdr:to>
      <xdr:col>1</xdr:col>
      <xdr:colOff>1009650</xdr:colOff>
      <xdr:row>5</xdr:row>
      <xdr:rowOff>373210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1924050"/>
          <a:ext cx="847726" cy="33511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</xdr:row>
      <xdr:rowOff>57152</xdr:rowOff>
    </xdr:from>
    <xdr:to>
      <xdr:col>1</xdr:col>
      <xdr:colOff>990599</xdr:colOff>
      <xdr:row>6</xdr:row>
      <xdr:rowOff>322988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324102"/>
          <a:ext cx="819149" cy="26583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7</xdr:row>
      <xdr:rowOff>47624</xdr:rowOff>
    </xdr:from>
    <xdr:to>
      <xdr:col>1</xdr:col>
      <xdr:colOff>1028700</xdr:colOff>
      <xdr:row>7</xdr:row>
      <xdr:rowOff>358015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1" y="2695574"/>
          <a:ext cx="847724" cy="31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8</xdr:row>
      <xdr:rowOff>28576</xdr:rowOff>
    </xdr:from>
    <xdr:to>
      <xdr:col>1</xdr:col>
      <xdr:colOff>1066800</xdr:colOff>
      <xdr:row>8</xdr:row>
      <xdr:rowOff>328319</xdr:rowOff>
    </xdr:to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7" y="3057526"/>
          <a:ext cx="876298" cy="29974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11</xdr:row>
      <xdr:rowOff>19050</xdr:rowOff>
    </xdr:from>
    <xdr:to>
      <xdr:col>1</xdr:col>
      <xdr:colOff>942975</xdr:colOff>
      <xdr:row>11</xdr:row>
      <xdr:rowOff>312723</xdr:rowOff>
    </xdr:to>
    <xdr:pic>
      <xdr:nvPicPr>
        <xdr:cNvPr id="23" name="Image 2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4191000"/>
          <a:ext cx="752474" cy="293673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12</xdr:row>
      <xdr:rowOff>66676</xdr:rowOff>
    </xdr:from>
    <xdr:to>
      <xdr:col>1</xdr:col>
      <xdr:colOff>876300</xdr:colOff>
      <xdr:row>12</xdr:row>
      <xdr:rowOff>295275</xdr:rowOff>
    </xdr:to>
    <xdr:pic>
      <xdr:nvPicPr>
        <xdr:cNvPr id="24" name="Image 2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619626"/>
          <a:ext cx="714375" cy="228599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13</xdr:row>
      <xdr:rowOff>38101</xdr:rowOff>
    </xdr:from>
    <xdr:to>
      <xdr:col>1</xdr:col>
      <xdr:colOff>914399</xdr:colOff>
      <xdr:row>13</xdr:row>
      <xdr:rowOff>295275</xdr:rowOff>
    </xdr:to>
    <xdr:pic>
      <xdr:nvPicPr>
        <xdr:cNvPr id="25" name="Image 24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4972051"/>
          <a:ext cx="752475" cy="257174"/>
        </a:xfrm>
        <a:prstGeom prst="rect">
          <a:avLst/>
        </a:prstGeom>
      </xdr:spPr>
    </xdr:pic>
    <xdr:clientData/>
  </xdr:twoCellAnchor>
  <xdr:twoCellAnchor>
    <xdr:from>
      <xdr:col>1</xdr:col>
      <xdr:colOff>257176</xdr:colOff>
      <xdr:row>9</xdr:row>
      <xdr:rowOff>38100</xdr:rowOff>
    </xdr:from>
    <xdr:to>
      <xdr:col>1</xdr:col>
      <xdr:colOff>1019176</xdr:colOff>
      <xdr:row>9</xdr:row>
      <xdr:rowOff>285750</xdr:rowOff>
    </xdr:to>
    <xdr:sp macro="" textlink="">
      <xdr:nvSpPr>
        <xdr:cNvPr id="26" name="Rectangle 25"/>
        <xdr:cNvSpPr/>
      </xdr:nvSpPr>
      <xdr:spPr>
        <a:xfrm>
          <a:off x="552451" y="3448050"/>
          <a:ext cx="762000" cy="2476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200025</xdr:colOff>
      <xdr:row>10</xdr:row>
      <xdr:rowOff>28576</xdr:rowOff>
    </xdr:from>
    <xdr:to>
      <xdr:col>1</xdr:col>
      <xdr:colOff>952500</xdr:colOff>
      <xdr:row>10</xdr:row>
      <xdr:rowOff>295276</xdr:rowOff>
    </xdr:to>
    <xdr:sp macro="" textlink="">
      <xdr:nvSpPr>
        <xdr:cNvPr id="27" name="Rectangle 26"/>
        <xdr:cNvSpPr/>
      </xdr:nvSpPr>
      <xdr:spPr>
        <a:xfrm>
          <a:off x="495300" y="3819526"/>
          <a:ext cx="752475" cy="2667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47626</xdr:rowOff>
    </xdr:from>
    <xdr:to>
      <xdr:col>1</xdr:col>
      <xdr:colOff>1123949</xdr:colOff>
      <xdr:row>1</xdr:row>
      <xdr:rowOff>353082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409576"/>
          <a:ext cx="981073" cy="305456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</xdr:row>
      <xdr:rowOff>28577</xdr:rowOff>
    </xdr:from>
    <xdr:to>
      <xdr:col>1</xdr:col>
      <xdr:colOff>1085849</xdr:colOff>
      <xdr:row>2</xdr:row>
      <xdr:rowOff>347983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771527"/>
          <a:ext cx="942973" cy="319406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161927</xdr:colOff>
      <xdr:row>3</xdr:row>
      <xdr:rowOff>19052</xdr:rowOff>
    </xdr:from>
    <xdr:to>
      <xdr:col>1</xdr:col>
      <xdr:colOff>1057275</xdr:colOff>
      <xdr:row>3</xdr:row>
      <xdr:rowOff>318092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2" y="1143002"/>
          <a:ext cx="895348" cy="2990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4</xdr:row>
      <xdr:rowOff>38102</xdr:rowOff>
    </xdr:from>
    <xdr:to>
      <xdr:col>1</xdr:col>
      <xdr:colOff>1019175</xdr:colOff>
      <xdr:row>4</xdr:row>
      <xdr:rowOff>333664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6" y="1543052"/>
          <a:ext cx="866774" cy="29556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5</xdr:row>
      <xdr:rowOff>38100</xdr:rowOff>
    </xdr:from>
    <xdr:to>
      <xdr:col>1</xdr:col>
      <xdr:colOff>990600</xdr:colOff>
      <xdr:row>5</xdr:row>
      <xdr:rowOff>333387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1924050"/>
          <a:ext cx="828676" cy="295287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</xdr:row>
      <xdr:rowOff>57152</xdr:rowOff>
    </xdr:from>
    <xdr:to>
      <xdr:col>1</xdr:col>
      <xdr:colOff>990599</xdr:colOff>
      <xdr:row>6</xdr:row>
      <xdr:rowOff>333076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324102"/>
          <a:ext cx="819149" cy="275924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7</xdr:row>
      <xdr:rowOff>47624</xdr:rowOff>
    </xdr:from>
    <xdr:to>
      <xdr:col>1</xdr:col>
      <xdr:colOff>981074</xdr:colOff>
      <xdr:row>7</xdr:row>
      <xdr:rowOff>352425</xdr:rowOff>
    </xdr:to>
    <xdr:pic>
      <xdr:nvPicPr>
        <xdr:cNvPr id="21" name="Image 2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695574"/>
          <a:ext cx="800099" cy="30480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8</xdr:row>
      <xdr:rowOff>28577</xdr:rowOff>
    </xdr:from>
    <xdr:to>
      <xdr:col>1</xdr:col>
      <xdr:colOff>990600</xdr:colOff>
      <xdr:row>8</xdr:row>
      <xdr:rowOff>323851</xdr:rowOff>
    </xdr:to>
    <xdr:pic>
      <xdr:nvPicPr>
        <xdr:cNvPr id="22" name="Image 2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7" y="3057527"/>
          <a:ext cx="800098" cy="2952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11</xdr:row>
      <xdr:rowOff>38101</xdr:rowOff>
    </xdr:from>
    <xdr:to>
      <xdr:col>1</xdr:col>
      <xdr:colOff>1000125</xdr:colOff>
      <xdr:row>11</xdr:row>
      <xdr:rowOff>333063</xdr:rowOff>
    </xdr:to>
    <xdr:pic>
      <xdr:nvPicPr>
        <xdr:cNvPr id="23" name="Image 2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4210051"/>
          <a:ext cx="809625" cy="29496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12</xdr:row>
      <xdr:rowOff>66676</xdr:rowOff>
    </xdr:from>
    <xdr:to>
      <xdr:col>1</xdr:col>
      <xdr:colOff>981075</xdr:colOff>
      <xdr:row>12</xdr:row>
      <xdr:rowOff>371475</xdr:rowOff>
    </xdr:to>
    <xdr:pic>
      <xdr:nvPicPr>
        <xdr:cNvPr id="24" name="Image 23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4619626"/>
          <a:ext cx="819150" cy="304799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13</xdr:row>
      <xdr:rowOff>38101</xdr:rowOff>
    </xdr:from>
    <xdr:to>
      <xdr:col>1</xdr:col>
      <xdr:colOff>1000125</xdr:colOff>
      <xdr:row>13</xdr:row>
      <xdr:rowOff>342900</xdr:rowOff>
    </xdr:to>
    <xdr:pic>
      <xdr:nvPicPr>
        <xdr:cNvPr id="25" name="Image 24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4972051"/>
          <a:ext cx="838201" cy="304799"/>
        </a:xfrm>
        <a:prstGeom prst="rect">
          <a:avLst/>
        </a:prstGeom>
      </xdr:spPr>
    </xdr:pic>
    <xdr:clientData/>
  </xdr:twoCellAnchor>
  <xdr:twoCellAnchor>
    <xdr:from>
      <xdr:col>1</xdr:col>
      <xdr:colOff>200026</xdr:colOff>
      <xdr:row>9</xdr:row>
      <xdr:rowOff>57150</xdr:rowOff>
    </xdr:from>
    <xdr:to>
      <xdr:col>1</xdr:col>
      <xdr:colOff>962026</xdr:colOff>
      <xdr:row>9</xdr:row>
      <xdr:rowOff>304800</xdr:rowOff>
    </xdr:to>
    <xdr:sp macro="" textlink="">
      <xdr:nvSpPr>
        <xdr:cNvPr id="26" name="Rectangle 25"/>
        <xdr:cNvSpPr/>
      </xdr:nvSpPr>
      <xdr:spPr>
        <a:xfrm>
          <a:off x="495301" y="3467100"/>
          <a:ext cx="762000" cy="2476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200025</xdr:colOff>
      <xdr:row>10</xdr:row>
      <xdr:rowOff>66676</xdr:rowOff>
    </xdr:from>
    <xdr:to>
      <xdr:col>1</xdr:col>
      <xdr:colOff>952500</xdr:colOff>
      <xdr:row>10</xdr:row>
      <xdr:rowOff>333376</xdr:rowOff>
    </xdr:to>
    <xdr:sp macro="" textlink="">
      <xdr:nvSpPr>
        <xdr:cNvPr id="27" name="Rectangle 26"/>
        <xdr:cNvSpPr/>
      </xdr:nvSpPr>
      <xdr:spPr>
        <a:xfrm>
          <a:off x="495300" y="3857626"/>
          <a:ext cx="752475" cy="26670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47626</xdr:rowOff>
    </xdr:from>
    <xdr:to>
      <xdr:col>1</xdr:col>
      <xdr:colOff>1095375</xdr:colOff>
      <xdr:row>1</xdr:row>
      <xdr:rowOff>346163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409576"/>
          <a:ext cx="952499" cy="29853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</xdr:row>
      <xdr:rowOff>28577</xdr:rowOff>
    </xdr:from>
    <xdr:to>
      <xdr:col>1</xdr:col>
      <xdr:colOff>1085850</xdr:colOff>
      <xdr:row>2</xdr:row>
      <xdr:rowOff>306708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771527"/>
          <a:ext cx="942974" cy="278131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161927</xdr:colOff>
      <xdr:row>3</xdr:row>
      <xdr:rowOff>19052</xdr:rowOff>
    </xdr:from>
    <xdr:to>
      <xdr:col>1</xdr:col>
      <xdr:colOff>1057275</xdr:colOff>
      <xdr:row>3</xdr:row>
      <xdr:rowOff>310692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2" y="1143002"/>
          <a:ext cx="895348" cy="291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4</xdr:row>
      <xdr:rowOff>38102</xdr:rowOff>
    </xdr:from>
    <xdr:to>
      <xdr:col>1</xdr:col>
      <xdr:colOff>1057275</xdr:colOff>
      <xdr:row>4</xdr:row>
      <xdr:rowOff>326534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6" y="1543052"/>
          <a:ext cx="904874" cy="288432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5</xdr:row>
      <xdr:rowOff>38100</xdr:rowOff>
    </xdr:from>
    <xdr:to>
      <xdr:col>1</xdr:col>
      <xdr:colOff>1047750</xdr:colOff>
      <xdr:row>5</xdr:row>
      <xdr:rowOff>334039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1924050"/>
          <a:ext cx="885826" cy="29593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</xdr:row>
      <xdr:rowOff>57152</xdr:rowOff>
    </xdr:from>
    <xdr:to>
      <xdr:col>1</xdr:col>
      <xdr:colOff>1028699</xdr:colOff>
      <xdr:row>6</xdr:row>
      <xdr:rowOff>328329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324102"/>
          <a:ext cx="857249" cy="271177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7</xdr:row>
      <xdr:rowOff>47624</xdr:rowOff>
    </xdr:from>
    <xdr:to>
      <xdr:col>1</xdr:col>
      <xdr:colOff>1000125</xdr:colOff>
      <xdr:row>7</xdr:row>
      <xdr:rowOff>333375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695574"/>
          <a:ext cx="819150" cy="28575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8</xdr:row>
      <xdr:rowOff>28577</xdr:rowOff>
    </xdr:from>
    <xdr:to>
      <xdr:col>1</xdr:col>
      <xdr:colOff>1000125</xdr:colOff>
      <xdr:row>8</xdr:row>
      <xdr:rowOff>335077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7" y="3057527"/>
          <a:ext cx="809623" cy="3065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11</xdr:row>
      <xdr:rowOff>38101</xdr:rowOff>
    </xdr:from>
    <xdr:to>
      <xdr:col>1</xdr:col>
      <xdr:colOff>1009650</xdr:colOff>
      <xdr:row>11</xdr:row>
      <xdr:rowOff>333375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4210051"/>
          <a:ext cx="819150" cy="295274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12</xdr:row>
      <xdr:rowOff>66677</xdr:rowOff>
    </xdr:from>
    <xdr:to>
      <xdr:col>1</xdr:col>
      <xdr:colOff>1019175</xdr:colOff>
      <xdr:row>12</xdr:row>
      <xdr:rowOff>341351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4619627"/>
          <a:ext cx="857251" cy="274674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13</xdr:row>
      <xdr:rowOff>38102</xdr:rowOff>
    </xdr:from>
    <xdr:to>
      <xdr:col>1</xdr:col>
      <xdr:colOff>1028700</xdr:colOff>
      <xdr:row>13</xdr:row>
      <xdr:rowOff>332510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" y="4972052"/>
          <a:ext cx="866776" cy="294408"/>
        </a:xfrm>
        <a:prstGeom prst="rect">
          <a:avLst/>
        </a:prstGeom>
      </xdr:spPr>
    </xdr:pic>
    <xdr:clientData/>
  </xdr:twoCellAnchor>
  <xdr:twoCellAnchor>
    <xdr:from>
      <xdr:col>1</xdr:col>
      <xdr:colOff>200026</xdr:colOff>
      <xdr:row>9</xdr:row>
      <xdr:rowOff>57150</xdr:rowOff>
    </xdr:from>
    <xdr:to>
      <xdr:col>1</xdr:col>
      <xdr:colOff>971550</xdr:colOff>
      <xdr:row>9</xdr:row>
      <xdr:rowOff>304800</xdr:rowOff>
    </xdr:to>
    <xdr:sp macro="" textlink="">
      <xdr:nvSpPr>
        <xdr:cNvPr id="13" name="Rectangle 12"/>
        <xdr:cNvSpPr/>
      </xdr:nvSpPr>
      <xdr:spPr>
        <a:xfrm>
          <a:off x="495301" y="3467100"/>
          <a:ext cx="771524" cy="2476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200026</xdr:colOff>
      <xdr:row>10</xdr:row>
      <xdr:rowOff>66676</xdr:rowOff>
    </xdr:from>
    <xdr:to>
      <xdr:col>1</xdr:col>
      <xdr:colOff>1009650</xdr:colOff>
      <xdr:row>10</xdr:row>
      <xdr:rowOff>333375</xdr:rowOff>
    </xdr:to>
    <xdr:sp macro="" textlink="">
      <xdr:nvSpPr>
        <xdr:cNvPr id="14" name="Rectangle 13"/>
        <xdr:cNvSpPr/>
      </xdr:nvSpPr>
      <xdr:spPr>
        <a:xfrm>
          <a:off x="495301" y="3857626"/>
          <a:ext cx="809624" cy="26669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F15" sqref="F15"/>
    </sheetView>
  </sheetViews>
  <sheetFormatPr baseColWidth="10" defaultColWidth="9.140625" defaultRowHeight="15" x14ac:dyDescent="0.25"/>
  <cols>
    <col min="1" max="1" width="4.42578125" customWidth="1"/>
    <col min="2" max="2" width="21" customWidth="1"/>
    <col min="3" max="3" width="45.140625" customWidth="1"/>
    <col min="4" max="4" width="11.85546875" customWidth="1"/>
    <col min="6" max="6" width="13" customWidth="1"/>
  </cols>
  <sheetData>
    <row r="1" spans="1:9" ht="28.5" x14ac:dyDescent="0.45">
      <c r="B1" s="6" t="s">
        <v>10</v>
      </c>
      <c r="C1" s="7"/>
      <c r="D1" s="5" t="s">
        <v>8</v>
      </c>
      <c r="E1" s="5" t="s">
        <v>11</v>
      </c>
      <c r="F1" s="5" t="s">
        <v>12</v>
      </c>
    </row>
    <row r="2" spans="1:9" ht="30" customHeight="1" x14ac:dyDescent="0.25">
      <c r="A2" s="4">
        <v>1</v>
      </c>
      <c r="B2" s="2"/>
      <c r="C2" s="3" t="s">
        <v>0</v>
      </c>
      <c r="D2" s="30">
        <v>115.55</v>
      </c>
      <c r="E2" s="29">
        <v>3.3</v>
      </c>
      <c r="F2" s="29">
        <f>+D2*E2</f>
        <v>381.315</v>
      </c>
    </row>
    <row r="3" spans="1:9" ht="30" customHeight="1" x14ac:dyDescent="0.25">
      <c r="A3" s="4">
        <v>2</v>
      </c>
      <c r="B3" s="2"/>
      <c r="C3" s="3" t="s">
        <v>1</v>
      </c>
      <c r="D3" s="30">
        <v>11.01</v>
      </c>
      <c r="E3" s="29">
        <v>3.3</v>
      </c>
      <c r="F3" s="29">
        <f t="shared" ref="F3:F14" si="0">+D3*E3</f>
        <v>36.332999999999998</v>
      </c>
    </row>
    <row r="4" spans="1:9" ht="30" customHeight="1" x14ac:dyDescent="0.25">
      <c r="A4" s="4">
        <v>3</v>
      </c>
      <c r="B4" s="2"/>
      <c r="C4" s="3" t="s">
        <v>2</v>
      </c>
      <c r="D4" s="30">
        <v>4.66</v>
      </c>
      <c r="E4" s="29">
        <v>3.3</v>
      </c>
      <c r="F4" s="29">
        <f t="shared" si="0"/>
        <v>15.378</v>
      </c>
    </row>
    <row r="5" spans="1:9" ht="30" customHeight="1" x14ac:dyDescent="0.25">
      <c r="A5" s="12">
        <v>4</v>
      </c>
      <c r="B5" s="13"/>
      <c r="C5" s="14" t="s">
        <v>3</v>
      </c>
      <c r="D5" s="33">
        <v>0</v>
      </c>
      <c r="E5" s="34">
        <v>0</v>
      </c>
      <c r="F5" s="34">
        <f t="shared" si="0"/>
        <v>0</v>
      </c>
    </row>
    <row r="6" spans="1:9" ht="30" customHeight="1" x14ac:dyDescent="0.25">
      <c r="A6" s="12">
        <v>5</v>
      </c>
      <c r="B6" s="13"/>
      <c r="C6" s="14" t="s">
        <v>4</v>
      </c>
      <c r="D6" s="33">
        <v>0</v>
      </c>
      <c r="E6" s="34">
        <v>0</v>
      </c>
      <c r="F6" s="34">
        <f t="shared" si="0"/>
        <v>0</v>
      </c>
    </row>
    <row r="7" spans="1:9" ht="30" customHeight="1" x14ac:dyDescent="0.25">
      <c r="A7" s="4">
        <v>6</v>
      </c>
      <c r="B7" s="2"/>
      <c r="C7" s="3" t="s">
        <v>5</v>
      </c>
      <c r="D7" s="30">
        <v>0.91</v>
      </c>
      <c r="E7" s="29">
        <v>3.3</v>
      </c>
      <c r="F7" s="29">
        <f t="shared" si="0"/>
        <v>3.0030000000000001</v>
      </c>
    </row>
    <row r="8" spans="1:9" ht="30" customHeight="1" x14ac:dyDescent="0.25">
      <c r="A8" s="4">
        <v>7</v>
      </c>
      <c r="B8" s="2"/>
      <c r="C8" s="3" t="s">
        <v>6</v>
      </c>
      <c r="D8" s="30">
        <v>63.23</v>
      </c>
      <c r="E8" s="29">
        <v>3.3</v>
      </c>
      <c r="F8" s="29">
        <f t="shared" si="0"/>
        <v>208.65899999999999</v>
      </c>
    </row>
    <row r="9" spans="1:9" ht="30" customHeight="1" x14ac:dyDescent="0.25">
      <c r="A9" s="12">
        <v>8</v>
      </c>
      <c r="B9" s="13"/>
      <c r="C9" s="14" t="s">
        <v>7</v>
      </c>
      <c r="D9" s="33">
        <v>0</v>
      </c>
      <c r="E9" s="34">
        <v>0</v>
      </c>
      <c r="F9" s="34">
        <f t="shared" si="0"/>
        <v>0</v>
      </c>
    </row>
    <row r="10" spans="1:9" ht="30" customHeight="1" x14ac:dyDescent="0.25">
      <c r="A10" s="12">
        <v>9</v>
      </c>
      <c r="B10" s="13"/>
      <c r="C10" s="14" t="s">
        <v>18</v>
      </c>
      <c r="D10" s="33">
        <v>0</v>
      </c>
      <c r="E10" s="34">
        <v>0</v>
      </c>
      <c r="F10" s="34">
        <f t="shared" si="0"/>
        <v>0</v>
      </c>
    </row>
    <row r="11" spans="1:9" ht="30" customHeight="1" x14ac:dyDescent="0.25">
      <c r="A11" s="12">
        <v>10</v>
      </c>
      <c r="B11" s="13"/>
      <c r="C11" s="14" t="s">
        <v>19</v>
      </c>
      <c r="D11" s="33">
        <v>0</v>
      </c>
      <c r="E11" s="34">
        <v>0</v>
      </c>
      <c r="F11" s="34">
        <f t="shared" si="0"/>
        <v>0</v>
      </c>
    </row>
    <row r="12" spans="1:9" ht="30" customHeight="1" x14ac:dyDescent="0.25">
      <c r="A12" s="12">
        <v>11</v>
      </c>
      <c r="B12" s="13"/>
      <c r="C12" s="14" t="s">
        <v>14</v>
      </c>
      <c r="D12" s="33">
        <v>0</v>
      </c>
      <c r="E12" s="34">
        <v>0</v>
      </c>
      <c r="F12" s="34">
        <f t="shared" si="0"/>
        <v>0</v>
      </c>
    </row>
    <row r="13" spans="1:9" ht="30" customHeight="1" x14ac:dyDescent="0.25">
      <c r="A13" s="12">
        <v>12</v>
      </c>
      <c r="B13" s="13"/>
      <c r="C13" s="14" t="s">
        <v>15</v>
      </c>
      <c r="D13" s="33">
        <v>0</v>
      </c>
      <c r="E13" s="34">
        <v>0</v>
      </c>
      <c r="F13" s="34">
        <f t="shared" si="0"/>
        <v>0</v>
      </c>
    </row>
    <row r="14" spans="1:9" ht="30" customHeight="1" x14ac:dyDescent="0.25">
      <c r="A14" s="12">
        <v>13</v>
      </c>
      <c r="B14" s="13"/>
      <c r="C14" s="14" t="s">
        <v>16</v>
      </c>
      <c r="D14" s="33">
        <v>0</v>
      </c>
      <c r="E14" s="34">
        <v>0</v>
      </c>
      <c r="F14" s="34">
        <f t="shared" si="0"/>
        <v>0</v>
      </c>
    </row>
    <row r="15" spans="1:9" ht="21" x14ac:dyDescent="0.35">
      <c r="D15" s="23">
        <f>SUM(D2:D14)</f>
        <v>195.35999999999999</v>
      </c>
      <c r="E15" s="28"/>
      <c r="F15" s="20">
        <f>SUM(F2:F14)</f>
        <v>644.68799999999999</v>
      </c>
      <c r="I15" t="s">
        <v>9</v>
      </c>
    </row>
    <row r="37" spans="4:4" x14ac:dyDescent="0.25">
      <c r="D37" s="1"/>
    </row>
  </sheetData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J11" sqref="J11"/>
    </sheetView>
  </sheetViews>
  <sheetFormatPr baseColWidth="10" defaultRowHeight="15" x14ac:dyDescent="0.25"/>
  <cols>
    <col min="1" max="1" width="4.42578125" customWidth="1"/>
    <col min="2" max="2" width="21" customWidth="1"/>
    <col min="3" max="3" width="42.5703125" customWidth="1"/>
    <col min="4" max="4" width="11.85546875" customWidth="1"/>
    <col min="6" max="6" width="15" bestFit="1" customWidth="1"/>
  </cols>
  <sheetData>
    <row r="1" spans="1:6" ht="28.5" x14ac:dyDescent="0.45">
      <c r="B1" s="6" t="s">
        <v>13</v>
      </c>
      <c r="C1" s="7"/>
      <c r="D1" s="5" t="s">
        <v>8</v>
      </c>
      <c r="E1" s="5" t="s">
        <v>11</v>
      </c>
      <c r="F1" s="5" t="s">
        <v>12</v>
      </c>
    </row>
    <row r="2" spans="1:6" ht="30" customHeight="1" x14ac:dyDescent="0.25">
      <c r="A2" s="4">
        <v>1</v>
      </c>
      <c r="B2" s="2"/>
      <c r="C2" s="3" t="s">
        <v>0</v>
      </c>
      <c r="D2" s="30">
        <v>119.86</v>
      </c>
      <c r="E2" s="29">
        <v>3.3</v>
      </c>
      <c r="F2" s="29">
        <f>D2*E2</f>
        <v>395.53799999999995</v>
      </c>
    </row>
    <row r="3" spans="1:6" ht="30" customHeight="1" x14ac:dyDescent="0.25">
      <c r="A3" s="4">
        <v>2</v>
      </c>
      <c r="B3" s="2"/>
      <c r="C3" s="3" t="s">
        <v>1</v>
      </c>
      <c r="D3" s="30">
        <v>34.659999999999997</v>
      </c>
      <c r="E3" s="29">
        <v>3.3</v>
      </c>
      <c r="F3" s="29">
        <f t="shared" ref="F3:F14" si="0">D3*E3</f>
        <v>114.37799999999999</v>
      </c>
    </row>
    <row r="4" spans="1:6" ht="30" customHeight="1" x14ac:dyDescent="0.25">
      <c r="A4" s="4">
        <v>3</v>
      </c>
      <c r="B4" s="2"/>
      <c r="C4" s="3" t="s">
        <v>2</v>
      </c>
      <c r="D4" s="30">
        <v>27.64</v>
      </c>
      <c r="E4" s="29">
        <v>3.3</v>
      </c>
      <c r="F4" s="29">
        <f t="shared" si="0"/>
        <v>91.212000000000003</v>
      </c>
    </row>
    <row r="5" spans="1:6" ht="30" customHeight="1" x14ac:dyDescent="0.25">
      <c r="A5" s="12">
        <v>4</v>
      </c>
      <c r="B5" s="13"/>
      <c r="C5" s="14" t="s">
        <v>3</v>
      </c>
      <c r="D5" s="37">
        <v>0</v>
      </c>
      <c r="E5" s="36">
        <v>0</v>
      </c>
      <c r="F5" s="36">
        <f t="shared" si="0"/>
        <v>0</v>
      </c>
    </row>
    <row r="6" spans="1:6" ht="30" customHeight="1" x14ac:dyDescent="0.25">
      <c r="A6" s="4">
        <v>5</v>
      </c>
      <c r="B6" s="2"/>
      <c r="C6" s="3" t="s">
        <v>4</v>
      </c>
      <c r="D6" s="30">
        <v>7.55</v>
      </c>
      <c r="E6" s="29">
        <v>3.3</v>
      </c>
      <c r="F6" s="29">
        <f t="shared" si="0"/>
        <v>24.914999999999999</v>
      </c>
    </row>
    <row r="7" spans="1:6" ht="30" customHeight="1" x14ac:dyDescent="0.25">
      <c r="A7" s="4">
        <v>6</v>
      </c>
      <c r="B7" s="2"/>
      <c r="C7" s="3" t="s">
        <v>5</v>
      </c>
      <c r="D7" s="30">
        <v>2.2799999999999998</v>
      </c>
      <c r="E7" s="29">
        <v>3.3</v>
      </c>
      <c r="F7" s="29">
        <f t="shared" si="0"/>
        <v>7.5239999999999991</v>
      </c>
    </row>
    <row r="8" spans="1:6" ht="30" customHeight="1" x14ac:dyDescent="0.25">
      <c r="A8" s="4">
        <v>7</v>
      </c>
      <c r="B8" s="2"/>
      <c r="C8" s="3" t="s">
        <v>6</v>
      </c>
      <c r="D8" s="30">
        <v>189.01</v>
      </c>
      <c r="E8" s="29">
        <v>3.3</v>
      </c>
      <c r="F8" s="29">
        <f t="shared" si="0"/>
        <v>623.73299999999995</v>
      </c>
    </row>
    <row r="9" spans="1:6" ht="30" customHeight="1" x14ac:dyDescent="0.25">
      <c r="A9" s="12">
        <v>8</v>
      </c>
      <c r="B9" s="13"/>
      <c r="C9" s="14" t="s">
        <v>7</v>
      </c>
      <c r="D9" s="35">
        <v>0</v>
      </c>
      <c r="E9" s="36">
        <v>0</v>
      </c>
      <c r="F9" s="36">
        <f t="shared" si="0"/>
        <v>0</v>
      </c>
    </row>
    <row r="10" spans="1:6" ht="30" customHeight="1" x14ac:dyDescent="0.25">
      <c r="A10" s="12">
        <v>9</v>
      </c>
      <c r="B10" s="13"/>
      <c r="C10" s="14" t="s">
        <v>18</v>
      </c>
      <c r="D10" s="35">
        <v>0</v>
      </c>
      <c r="E10" s="36">
        <v>0</v>
      </c>
      <c r="F10" s="36">
        <f t="shared" si="0"/>
        <v>0</v>
      </c>
    </row>
    <row r="11" spans="1:6" ht="30" customHeight="1" x14ac:dyDescent="0.25">
      <c r="A11" s="12">
        <v>10</v>
      </c>
      <c r="B11" s="13"/>
      <c r="C11" s="14" t="s">
        <v>19</v>
      </c>
      <c r="D11" s="35">
        <v>0</v>
      </c>
      <c r="E11" s="36">
        <v>0</v>
      </c>
      <c r="F11" s="36">
        <f t="shared" si="0"/>
        <v>0</v>
      </c>
    </row>
    <row r="12" spans="1:6" ht="30" customHeight="1" x14ac:dyDescent="0.25">
      <c r="A12" s="4">
        <v>11</v>
      </c>
      <c r="B12" s="2"/>
      <c r="C12" s="3" t="s">
        <v>14</v>
      </c>
      <c r="D12" s="30">
        <v>88.05</v>
      </c>
      <c r="E12" s="29">
        <v>3.3</v>
      </c>
      <c r="F12" s="29">
        <f t="shared" si="0"/>
        <v>290.565</v>
      </c>
    </row>
    <row r="13" spans="1:6" ht="30" customHeight="1" x14ac:dyDescent="0.25">
      <c r="A13" s="4">
        <v>12</v>
      </c>
      <c r="B13" s="2"/>
      <c r="C13" s="3" t="s">
        <v>15</v>
      </c>
      <c r="D13" s="30">
        <v>29.39</v>
      </c>
      <c r="E13" s="29">
        <v>3.3</v>
      </c>
      <c r="F13" s="29">
        <f t="shared" si="0"/>
        <v>96.986999999999995</v>
      </c>
    </row>
    <row r="14" spans="1:6" ht="30" customHeight="1" x14ac:dyDescent="0.25">
      <c r="A14" s="4">
        <v>13</v>
      </c>
      <c r="B14" s="2"/>
      <c r="C14" s="3" t="s">
        <v>16</v>
      </c>
      <c r="D14" s="30">
        <v>16.02</v>
      </c>
      <c r="E14" s="29">
        <v>3.3</v>
      </c>
      <c r="F14" s="29">
        <f t="shared" si="0"/>
        <v>52.865999999999993</v>
      </c>
    </row>
    <row r="15" spans="1:6" ht="23.25" x14ac:dyDescent="0.25">
      <c r="D15" s="24">
        <f>SUM(D2:D14)</f>
        <v>514.46</v>
      </c>
      <c r="E15" s="25"/>
      <c r="F15" s="26">
        <f>SUM(F2:F14)</f>
        <v>1697.7179999999998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96" zoomScaleNormal="96" workbookViewId="0">
      <selection activeCell="F15" sqref="F15"/>
    </sheetView>
  </sheetViews>
  <sheetFormatPr baseColWidth="10" defaultRowHeight="15" x14ac:dyDescent="0.25"/>
  <cols>
    <col min="1" max="1" width="4.42578125" customWidth="1"/>
    <col min="2" max="2" width="21" customWidth="1"/>
    <col min="3" max="3" width="40.5703125" customWidth="1"/>
    <col min="4" max="4" width="11.85546875" customWidth="1"/>
    <col min="6" max="6" width="13.7109375" bestFit="1" customWidth="1"/>
  </cols>
  <sheetData>
    <row r="1" spans="1:6" ht="28.5" x14ac:dyDescent="0.45">
      <c r="B1" s="6" t="s">
        <v>17</v>
      </c>
      <c r="C1" s="7"/>
      <c r="D1" s="5" t="s">
        <v>8</v>
      </c>
      <c r="E1" s="5" t="s">
        <v>11</v>
      </c>
      <c r="F1" s="5" t="s">
        <v>12</v>
      </c>
    </row>
    <row r="2" spans="1:6" ht="30" customHeight="1" x14ac:dyDescent="0.25">
      <c r="A2" s="12">
        <v>1</v>
      </c>
      <c r="B2" s="13"/>
      <c r="C2" s="14" t="s">
        <v>0</v>
      </c>
      <c r="D2" s="33">
        <v>0</v>
      </c>
      <c r="E2" s="34">
        <v>0</v>
      </c>
      <c r="F2" s="34">
        <v>0</v>
      </c>
    </row>
    <row r="3" spans="1:6" ht="30" customHeight="1" x14ac:dyDescent="0.25">
      <c r="A3" s="4">
        <v>2</v>
      </c>
      <c r="B3" s="2"/>
      <c r="C3" s="3" t="s">
        <v>1</v>
      </c>
      <c r="D3" s="30">
        <v>4.7300000000000004</v>
      </c>
      <c r="E3" s="29">
        <v>3.3</v>
      </c>
      <c r="F3" s="29">
        <f>E3*D3</f>
        <v>15.609</v>
      </c>
    </row>
    <row r="4" spans="1:6" ht="30" customHeight="1" x14ac:dyDescent="0.25">
      <c r="A4" s="4">
        <v>3</v>
      </c>
      <c r="B4" s="2"/>
      <c r="C4" s="3" t="s">
        <v>2</v>
      </c>
      <c r="D4" s="30">
        <v>37.49</v>
      </c>
      <c r="E4" s="29">
        <v>3.3</v>
      </c>
      <c r="F4" s="29">
        <f t="shared" ref="F4:F14" si="0">E4*D4</f>
        <v>123.717</v>
      </c>
    </row>
    <row r="5" spans="1:6" ht="30" customHeight="1" x14ac:dyDescent="0.25">
      <c r="A5" s="12">
        <v>4</v>
      </c>
      <c r="B5" s="13"/>
      <c r="C5" s="14" t="s">
        <v>3</v>
      </c>
      <c r="D5" s="42">
        <v>0</v>
      </c>
      <c r="E5" s="43">
        <v>0</v>
      </c>
      <c r="F5" s="41">
        <f t="shared" si="0"/>
        <v>0</v>
      </c>
    </row>
    <row r="6" spans="1:6" ht="30" customHeight="1" x14ac:dyDescent="0.25">
      <c r="A6" s="4">
        <v>5</v>
      </c>
      <c r="B6" s="2"/>
      <c r="C6" s="3" t="s">
        <v>4</v>
      </c>
      <c r="D6" s="30">
        <v>1.86</v>
      </c>
      <c r="E6" s="29">
        <v>3.3</v>
      </c>
      <c r="F6" s="29">
        <f t="shared" si="0"/>
        <v>6.1379999999999999</v>
      </c>
    </row>
    <row r="7" spans="1:6" ht="30" customHeight="1" x14ac:dyDescent="0.25">
      <c r="A7" s="12">
        <v>6</v>
      </c>
      <c r="B7" s="13"/>
      <c r="C7" s="14" t="s">
        <v>5</v>
      </c>
      <c r="D7" s="32">
        <v>0</v>
      </c>
      <c r="E7" s="31">
        <v>0</v>
      </c>
      <c r="F7" s="29">
        <f t="shared" si="0"/>
        <v>0</v>
      </c>
    </row>
    <row r="8" spans="1:6" ht="30" customHeight="1" x14ac:dyDescent="0.25">
      <c r="A8" s="4">
        <v>7</v>
      </c>
      <c r="B8" s="2"/>
      <c r="C8" s="3" t="s">
        <v>6</v>
      </c>
      <c r="D8" s="30">
        <v>141.4</v>
      </c>
      <c r="E8" s="29">
        <v>3.3</v>
      </c>
      <c r="F8" s="29">
        <f t="shared" si="0"/>
        <v>466.62</v>
      </c>
    </row>
    <row r="9" spans="1:6" ht="30" customHeight="1" x14ac:dyDescent="0.25">
      <c r="A9" s="12">
        <v>8</v>
      </c>
      <c r="B9" s="13"/>
      <c r="C9" s="14" t="s">
        <v>7</v>
      </c>
      <c r="D9" s="35">
        <v>0</v>
      </c>
      <c r="E9" s="36">
        <v>0</v>
      </c>
      <c r="F9" s="36">
        <f t="shared" si="0"/>
        <v>0</v>
      </c>
    </row>
    <row r="10" spans="1:6" ht="30" customHeight="1" x14ac:dyDescent="0.25">
      <c r="A10" s="12">
        <v>9</v>
      </c>
      <c r="B10" s="13"/>
      <c r="C10" s="14" t="s">
        <v>18</v>
      </c>
      <c r="D10" s="35">
        <v>0</v>
      </c>
      <c r="E10" s="36">
        <v>0</v>
      </c>
      <c r="F10" s="36">
        <f t="shared" si="0"/>
        <v>0</v>
      </c>
    </row>
    <row r="11" spans="1:6" ht="30" customHeight="1" x14ac:dyDescent="0.25">
      <c r="A11" s="4">
        <v>10</v>
      </c>
      <c r="B11" s="2"/>
      <c r="C11" s="3" t="s">
        <v>19</v>
      </c>
      <c r="D11" s="30">
        <v>175.89</v>
      </c>
      <c r="E11" s="29">
        <v>3.3</v>
      </c>
      <c r="F11" s="29">
        <f t="shared" si="0"/>
        <v>580.4369999999999</v>
      </c>
    </row>
    <row r="12" spans="1:6" ht="30" customHeight="1" x14ac:dyDescent="0.25">
      <c r="A12" s="4">
        <v>11</v>
      </c>
      <c r="B12" s="2"/>
      <c r="C12" s="3" t="s">
        <v>14</v>
      </c>
      <c r="D12" s="30">
        <v>72.540000000000006</v>
      </c>
      <c r="E12" s="29">
        <v>3.3</v>
      </c>
      <c r="F12" s="29">
        <f t="shared" si="0"/>
        <v>239.38200000000001</v>
      </c>
    </row>
    <row r="13" spans="1:6" ht="30" customHeight="1" x14ac:dyDescent="0.25">
      <c r="A13" s="12">
        <v>12</v>
      </c>
      <c r="B13" s="13"/>
      <c r="C13" s="14" t="s">
        <v>15</v>
      </c>
      <c r="D13" s="33">
        <v>0</v>
      </c>
      <c r="E13" s="34">
        <v>0</v>
      </c>
      <c r="F13" s="40">
        <f t="shared" si="0"/>
        <v>0</v>
      </c>
    </row>
    <row r="14" spans="1:6" ht="30" customHeight="1" x14ac:dyDescent="0.25">
      <c r="A14" s="12">
        <v>13</v>
      </c>
      <c r="B14" s="13"/>
      <c r="C14" s="14" t="s">
        <v>16</v>
      </c>
      <c r="D14" s="33">
        <v>0</v>
      </c>
      <c r="E14" s="34">
        <v>0</v>
      </c>
      <c r="F14" s="40">
        <f t="shared" si="0"/>
        <v>0</v>
      </c>
    </row>
    <row r="15" spans="1:6" ht="21" x14ac:dyDescent="0.35">
      <c r="D15" s="19">
        <f>SUM(D3:D14)</f>
        <v>433.91</v>
      </c>
      <c r="E15" s="19"/>
      <c r="F15" s="20">
        <f>SUM(F2:F14)</f>
        <v>1431.903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5" sqref="F15"/>
    </sheetView>
  </sheetViews>
  <sheetFormatPr baseColWidth="10" defaultRowHeight="15" x14ac:dyDescent="0.25"/>
  <cols>
    <col min="1" max="1" width="4.42578125" customWidth="1"/>
    <col min="2" max="2" width="21" customWidth="1"/>
    <col min="3" max="3" width="40.5703125" customWidth="1"/>
    <col min="4" max="4" width="11.85546875" customWidth="1"/>
    <col min="6" max="6" width="13.42578125" customWidth="1"/>
  </cols>
  <sheetData>
    <row r="1" spans="1:6" ht="28.5" x14ac:dyDescent="0.45">
      <c r="A1" s="16"/>
      <c r="B1" s="6" t="s">
        <v>20</v>
      </c>
      <c r="C1" s="7"/>
      <c r="D1" s="5" t="s">
        <v>8</v>
      </c>
      <c r="E1" s="5" t="s">
        <v>11</v>
      </c>
      <c r="F1" s="5" t="s">
        <v>12</v>
      </c>
    </row>
    <row r="2" spans="1:6" ht="30" customHeight="1" x14ac:dyDescent="0.25">
      <c r="A2" s="4">
        <v>1</v>
      </c>
      <c r="B2" s="2"/>
      <c r="C2" s="9" t="s">
        <v>0</v>
      </c>
      <c r="D2" s="11">
        <v>249.63</v>
      </c>
      <c r="E2" s="15">
        <v>3.3</v>
      </c>
      <c r="F2" s="10">
        <f>D2*E2</f>
        <v>823.779</v>
      </c>
    </row>
    <row r="3" spans="1:6" ht="30" customHeight="1" x14ac:dyDescent="0.25">
      <c r="A3" s="4">
        <v>2</v>
      </c>
      <c r="B3" s="2"/>
      <c r="C3" s="9" t="s">
        <v>1</v>
      </c>
      <c r="D3" s="11">
        <v>212.36</v>
      </c>
      <c r="E3" s="15">
        <v>3.3</v>
      </c>
      <c r="F3" s="10">
        <f t="shared" ref="F3:F14" si="0">D3*E3</f>
        <v>700.78800000000001</v>
      </c>
    </row>
    <row r="4" spans="1:6" ht="30" customHeight="1" x14ac:dyDescent="0.25">
      <c r="A4" s="4">
        <v>3</v>
      </c>
      <c r="B4" s="2"/>
      <c r="C4" s="9" t="s">
        <v>2</v>
      </c>
      <c r="D4" s="11">
        <v>19.89</v>
      </c>
      <c r="E4" s="15">
        <v>3.3</v>
      </c>
      <c r="F4" s="10">
        <f t="shared" si="0"/>
        <v>65.637</v>
      </c>
    </row>
    <row r="5" spans="1:6" ht="30" customHeight="1" x14ac:dyDescent="0.25">
      <c r="A5" s="4">
        <v>4</v>
      </c>
      <c r="B5" s="2"/>
      <c r="C5" s="9" t="s">
        <v>3</v>
      </c>
      <c r="D5" s="11">
        <v>28.25</v>
      </c>
      <c r="E5" s="15">
        <v>3.3</v>
      </c>
      <c r="F5" s="10">
        <f t="shared" si="0"/>
        <v>93.224999999999994</v>
      </c>
    </row>
    <row r="6" spans="1:6" ht="30" customHeight="1" x14ac:dyDescent="0.25">
      <c r="A6" s="4">
        <v>5</v>
      </c>
      <c r="B6" s="2"/>
      <c r="C6" s="9" t="s">
        <v>4</v>
      </c>
      <c r="D6" s="11">
        <v>17.98</v>
      </c>
      <c r="E6" s="15">
        <v>3.3</v>
      </c>
      <c r="F6" s="10">
        <f t="shared" si="0"/>
        <v>59.333999999999996</v>
      </c>
    </row>
    <row r="7" spans="1:6" ht="30" customHeight="1" x14ac:dyDescent="0.25">
      <c r="A7" s="4">
        <v>6</v>
      </c>
      <c r="B7" s="2"/>
      <c r="C7" s="9" t="s">
        <v>5</v>
      </c>
      <c r="D7" s="11">
        <v>7.57</v>
      </c>
      <c r="E7" s="15">
        <v>3.3</v>
      </c>
      <c r="F7" s="10">
        <f t="shared" si="0"/>
        <v>24.980999999999998</v>
      </c>
    </row>
    <row r="8" spans="1:6" ht="30" customHeight="1" x14ac:dyDescent="0.25">
      <c r="A8" s="4">
        <v>7</v>
      </c>
      <c r="B8" s="2"/>
      <c r="C8" s="9" t="s">
        <v>6</v>
      </c>
      <c r="D8" s="11">
        <v>207.83</v>
      </c>
      <c r="E8" s="15">
        <v>3.3</v>
      </c>
      <c r="F8" s="10">
        <f t="shared" si="0"/>
        <v>685.83900000000006</v>
      </c>
    </row>
    <row r="9" spans="1:6" ht="30" customHeight="1" x14ac:dyDescent="0.25">
      <c r="A9" s="4">
        <v>8</v>
      </c>
      <c r="B9" s="2"/>
      <c r="C9" s="9" t="s">
        <v>7</v>
      </c>
      <c r="D9" s="11">
        <v>8.84</v>
      </c>
      <c r="E9" s="15">
        <v>3.3</v>
      </c>
      <c r="F9" s="10">
        <f t="shared" si="0"/>
        <v>29.171999999999997</v>
      </c>
    </row>
    <row r="10" spans="1:6" ht="30" customHeight="1" x14ac:dyDescent="0.25">
      <c r="A10" s="12">
        <v>9</v>
      </c>
      <c r="B10" s="13"/>
      <c r="C10" s="14" t="s">
        <v>18</v>
      </c>
      <c r="D10" s="38">
        <v>0</v>
      </c>
      <c r="E10" s="39">
        <v>0</v>
      </c>
      <c r="F10" s="44">
        <f t="shared" si="0"/>
        <v>0</v>
      </c>
    </row>
    <row r="11" spans="1:6" ht="30" customHeight="1" x14ac:dyDescent="0.25">
      <c r="A11" s="12">
        <v>10</v>
      </c>
      <c r="B11" s="13"/>
      <c r="C11" s="14" t="s">
        <v>19</v>
      </c>
      <c r="D11" s="38">
        <v>0</v>
      </c>
      <c r="E11" s="39">
        <v>0</v>
      </c>
      <c r="F11" s="44">
        <f t="shared" si="0"/>
        <v>0</v>
      </c>
    </row>
    <row r="12" spans="1:6" ht="30" customHeight="1" x14ac:dyDescent="0.25">
      <c r="A12" s="12">
        <v>11</v>
      </c>
      <c r="B12" s="13"/>
      <c r="C12" s="14" t="s">
        <v>14</v>
      </c>
      <c r="D12" s="38">
        <v>0</v>
      </c>
      <c r="E12" s="39">
        <v>0</v>
      </c>
      <c r="F12" s="44">
        <f t="shared" si="0"/>
        <v>0</v>
      </c>
    </row>
    <row r="13" spans="1:6" ht="30" customHeight="1" x14ac:dyDescent="0.25">
      <c r="A13" s="12">
        <v>12</v>
      </c>
      <c r="B13" s="13"/>
      <c r="C13" s="14" t="s">
        <v>15</v>
      </c>
      <c r="D13" s="38">
        <v>0</v>
      </c>
      <c r="E13" s="39">
        <v>0</v>
      </c>
      <c r="F13" s="44">
        <f t="shared" si="0"/>
        <v>0</v>
      </c>
    </row>
    <row r="14" spans="1:6" ht="30" customHeight="1" x14ac:dyDescent="0.25">
      <c r="A14" s="12">
        <v>13</v>
      </c>
      <c r="B14" s="13"/>
      <c r="C14" s="14" t="s">
        <v>16</v>
      </c>
      <c r="D14" s="38">
        <v>0</v>
      </c>
      <c r="E14" s="39">
        <v>0</v>
      </c>
      <c r="F14" s="44">
        <f t="shared" si="0"/>
        <v>0</v>
      </c>
    </row>
    <row r="15" spans="1:6" ht="21" x14ac:dyDescent="0.35">
      <c r="D15" s="19">
        <f>SUM(D2:D14)</f>
        <v>752.35000000000014</v>
      </c>
      <c r="E15" s="18"/>
      <c r="F15" s="27">
        <f>SUM(F2:F14)</f>
        <v>2482.7550000000001</v>
      </c>
    </row>
  </sheetData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5" sqref="F15"/>
    </sheetView>
  </sheetViews>
  <sheetFormatPr baseColWidth="10" defaultRowHeight="15" x14ac:dyDescent="0.25"/>
  <cols>
    <col min="1" max="1" width="4.42578125" customWidth="1"/>
    <col min="2" max="2" width="21" customWidth="1"/>
    <col min="3" max="3" width="40.5703125" customWidth="1"/>
    <col min="4" max="4" width="11.85546875" customWidth="1"/>
    <col min="6" max="6" width="13.5703125" customWidth="1"/>
  </cols>
  <sheetData>
    <row r="1" spans="1:6" ht="28.5" x14ac:dyDescent="0.45">
      <c r="B1" s="6" t="s">
        <v>21</v>
      </c>
      <c r="C1" s="7"/>
      <c r="D1" s="5" t="s">
        <v>8</v>
      </c>
      <c r="E1" s="5" t="s">
        <v>11</v>
      </c>
      <c r="F1" s="5" t="s">
        <v>12</v>
      </c>
    </row>
    <row r="2" spans="1:6" ht="30" customHeight="1" x14ac:dyDescent="0.25">
      <c r="A2" s="8">
        <v>1</v>
      </c>
      <c r="B2" s="2"/>
      <c r="C2" s="9" t="s">
        <v>0</v>
      </c>
      <c r="D2" s="11">
        <v>334.2</v>
      </c>
      <c r="E2" s="15">
        <v>3.3</v>
      </c>
      <c r="F2" s="22">
        <f>E2*D2</f>
        <v>1102.8599999999999</v>
      </c>
    </row>
    <row r="3" spans="1:6" ht="30" customHeight="1" x14ac:dyDescent="0.25">
      <c r="A3" s="8">
        <v>2</v>
      </c>
      <c r="B3" s="2"/>
      <c r="C3" s="9" t="s">
        <v>1</v>
      </c>
      <c r="D3" s="11">
        <v>64.040000000000006</v>
      </c>
      <c r="E3" s="15">
        <v>3.3</v>
      </c>
      <c r="F3" s="22">
        <f t="shared" ref="F3:F14" si="0">E3*D3</f>
        <v>211.33200000000002</v>
      </c>
    </row>
    <row r="4" spans="1:6" ht="30" customHeight="1" x14ac:dyDescent="0.25">
      <c r="A4" s="8">
        <v>3</v>
      </c>
      <c r="B4" s="2"/>
      <c r="C4" s="9" t="s">
        <v>2</v>
      </c>
      <c r="D4" s="11">
        <v>20.350000000000001</v>
      </c>
      <c r="E4" s="15">
        <v>3.3</v>
      </c>
      <c r="F4" s="22">
        <f t="shared" si="0"/>
        <v>67.155000000000001</v>
      </c>
    </row>
    <row r="5" spans="1:6" ht="30" customHeight="1" x14ac:dyDescent="0.25">
      <c r="A5" s="8">
        <v>4</v>
      </c>
      <c r="B5" s="2"/>
      <c r="C5" s="9" t="s">
        <v>3</v>
      </c>
      <c r="D5" s="11">
        <v>9.93</v>
      </c>
      <c r="E5" s="15">
        <v>3.3</v>
      </c>
      <c r="F5" s="22">
        <f t="shared" si="0"/>
        <v>32.768999999999998</v>
      </c>
    </row>
    <row r="6" spans="1:6" ht="30" customHeight="1" x14ac:dyDescent="0.25">
      <c r="A6" s="8">
        <v>5</v>
      </c>
      <c r="B6" s="2"/>
      <c r="C6" s="9" t="s">
        <v>4</v>
      </c>
      <c r="D6" s="11">
        <v>11.67</v>
      </c>
      <c r="E6" s="15">
        <v>3.3</v>
      </c>
      <c r="F6" s="22">
        <f t="shared" si="0"/>
        <v>38.510999999999996</v>
      </c>
    </row>
    <row r="7" spans="1:6" ht="30" customHeight="1" x14ac:dyDescent="0.25">
      <c r="A7" s="8">
        <v>6</v>
      </c>
      <c r="B7" s="2"/>
      <c r="C7" s="9" t="s">
        <v>5</v>
      </c>
      <c r="D7" s="11">
        <v>0.9</v>
      </c>
      <c r="E7" s="15">
        <v>3.3</v>
      </c>
      <c r="F7" s="22">
        <f t="shared" si="0"/>
        <v>2.9699999999999998</v>
      </c>
    </row>
    <row r="8" spans="1:6" ht="30" customHeight="1" x14ac:dyDescent="0.25">
      <c r="A8" s="8">
        <v>7</v>
      </c>
      <c r="B8" s="2"/>
      <c r="C8" s="9" t="s">
        <v>6</v>
      </c>
      <c r="D8" s="11">
        <v>197.6</v>
      </c>
      <c r="E8" s="15">
        <v>3.3</v>
      </c>
      <c r="F8" s="22">
        <f t="shared" si="0"/>
        <v>652.07999999999993</v>
      </c>
    </row>
    <row r="9" spans="1:6" ht="30" customHeight="1" x14ac:dyDescent="0.25">
      <c r="A9" s="8">
        <v>8</v>
      </c>
      <c r="B9" s="2"/>
      <c r="C9" s="9" t="s">
        <v>7</v>
      </c>
      <c r="D9" s="11">
        <v>32.56</v>
      </c>
      <c r="E9" s="15">
        <v>3.3</v>
      </c>
      <c r="F9" s="22">
        <f t="shared" si="0"/>
        <v>107.44800000000001</v>
      </c>
    </row>
    <row r="10" spans="1:6" ht="30" customHeight="1" x14ac:dyDescent="0.25">
      <c r="A10" s="12">
        <v>9</v>
      </c>
      <c r="B10" s="13"/>
      <c r="C10" s="14" t="s">
        <v>18</v>
      </c>
      <c r="D10" s="38">
        <v>0</v>
      </c>
      <c r="E10" s="39">
        <v>0</v>
      </c>
      <c r="F10" s="46">
        <f t="shared" si="0"/>
        <v>0</v>
      </c>
    </row>
    <row r="11" spans="1:6" ht="30" customHeight="1" x14ac:dyDescent="0.25">
      <c r="A11" s="12">
        <v>10</v>
      </c>
      <c r="B11" s="13"/>
      <c r="C11" s="14" t="s">
        <v>19</v>
      </c>
      <c r="D11" s="38">
        <v>0</v>
      </c>
      <c r="E11" s="39">
        <v>0</v>
      </c>
      <c r="F11" s="46">
        <f t="shared" si="0"/>
        <v>0</v>
      </c>
    </row>
    <row r="12" spans="1:6" ht="30" customHeight="1" x14ac:dyDescent="0.25">
      <c r="A12" s="12">
        <v>11</v>
      </c>
      <c r="B12" s="13"/>
      <c r="C12" s="14" t="s">
        <v>14</v>
      </c>
      <c r="D12" s="38">
        <v>0</v>
      </c>
      <c r="E12" s="39">
        <v>0</v>
      </c>
      <c r="F12" s="46">
        <f t="shared" si="0"/>
        <v>0</v>
      </c>
    </row>
    <row r="13" spans="1:6" ht="30" customHeight="1" x14ac:dyDescent="0.25">
      <c r="A13" s="12">
        <v>12</v>
      </c>
      <c r="B13" s="13"/>
      <c r="C13" s="14" t="s">
        <v>15</v>
      </c>
      <c r="D13" s="38">
        <v>0</v>
      </c>
      <c r="E13" s="39">
        <v>0</v>
      </c>
      <c r="F13" s="46">
        <f t="shared" si="0"/>
        <v>0</v>
      </c>
    </row>
    <row r="14" spans="1:6" ht="30" customHeight="1" x14ac:dyDescent="0.25">
      <c r="A14" s="12">
        <v>13</v>
      </c>
      <c r="B14" s="13"/>
      <c r="C14" s="14" t="s">
        <v>16</v>
      </c>
      <c r="D14" s="38">
        <v>0</v>
      </c>
      <c r="E14" s="39">
        <v>0</v>
      </c>
      <c r="F14" s="46">
        <f t="shared" si="0"/>
        <v>0</v>
      </c>
    </row>
    <row r="15" spans="1:6" ht="18.75" x14ac:dyDescent="0.3">
      <c r="D15" s="17">
        <f>SUM(D2:D14)</f>
        <v>671.25</v>
      </c>
      <c r="E15" s="18"/>
      <c r="F15" s="47">
        <f>SUM(F2:F14)</f>
        <v>2215.1249999999995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F15" sqref="F15"/>
    </sheetView>
  </sheetViews>
  <sheetFormatPr baseColWidth="10" defaultRowHeight="15" x14ac:dyDescent="0.25"/>
  <cols>
    <col min="1" max="1" width="4.42578125" customWidth="1"/>
    <col min="2" max="2" width="21" customWidth="1"/>
    <col min="3" max="3" width="40.5703125" customWidth="1"/>
    <col min="4" max="4" width="11.85546875" customWidth="1"/>
    <col min="6" max="6" width="12.140625" bestFit="1" customWidth="1"/>
  </cols>
  <sheetData>
    <row r="1" spans="1:6" ht="28.5" x14ac:dyDescent="0.45">
      <c r="B1" s="6" t="s">
        <v>22</v>
      </c>
      <c r="C1" s="7"/>
      <c r="D1" s="5" t="s">
        <v>8</v>
      </c>
      <c r="E1" s="5" t="s">
        <v>11</v>
      </c>
      <c r="F1" s="5" t="s">
        <v>12</v>
      </c>
    </row>
    <row r="2" spans="1:6" ht="30" customHeight="1" x14ac:dyDescent="0.25">
      <c r="A2" s="8">
        <v>1</v>
      </c>
      <c r="B2" s="2"/>
      <c r="C2" s="9" t="s">
        <v>0</v>
      </c>
      <c r="D2" s="48">
        <v>285.24</v>
      </c>
      <c r="E2" s="45">
        <v>3.3</v>
      </c>
      <c r="F2" s="22">
        <f>E2*D2</f>
        <v>941.29200000000003</v>
      </c>
    </row>
    <row r="3" spans="1:6" ht="30" customHeight="1" x14ac:dyDescent="0.25">
      <c r="A3" s="8">
        <v>2</v>
      </c>
      <c r="B3" s="2"/>
      <c r="C3" s="9" t="s">
        <v>1</v>
      </c>
      <c r="D3" s="48">
        <v>106.03</v>
      </c>
      <c r="E3" s="45">
        <v>3.3</v>
      </c>
      <c r="F3" s="22">
        <f t="shared" ref="F3:F14" si="0">E3*D3</f>
        <v>349.899</v>
      </c>
    </row>
    <row r="4" spans="1:6" ht="30" customHeight="1" x14ac:dyDescent="0.25">
      <c r="A4" s="8">
        <v>3</v>
      </c>
      <c r="B4" s="2"/>
      <c r="C4" s="9" t="s">
        <v>2</v>
      </c>
      <c r="D4" s="48">
        <v>48.3</v>
      </c>
      <c r="E4" s="45">
        <v>3.3</v>
      </c>
      <c r="F4" s="22">
        <f t="shared" si="0"/>
        <v>159.38999999999999</v>
      </c>
    </row>
    <row r="5" spans="1:6" ht="30" customHeight="1" x14ac:dyDescent="0.25">
      <c r="A5" s="8">
        <v>4</v>
      </c>
      <c r="B5" s="2"/>
      <c r="C5" s="9" t="s">
        <v>3</v>
      </c>
      <c r="D5" s="48"/>
      <c r="E5" s="45">
        <v>3.3</v>
      </c>
      <c r="F5" s="22">
        <f t="shared" si="0"/>
        <v>0</v>
      </c>
    </row>
    <row r="6" spans="1:6" ht="30" customHeight="1" x14ac:dyDescent="0.25">
      <c r="A6" s="8">
        <v>5</v>
      </c>
      <c r="B6" s="2"/>
      <c r="C6" s="9" t="s">
        <v>4</v>
      </c>
      <c r="D6" s="48">
        <v>7.95</v>
      </c>
      <c r="E6" s="45">
        <v>3.3</v>
      </c>
      <c r="F6" s="22">
        <f t="shared" si="0"/>
        <v>26.234999999999999</v>
      </c>
    </row>
    <row r="7" spans="1:6" ht="30" customHeight="1" x14ac:dyDescent="0.25">
      <c r="A7" s="12">
        <v>6</v>
      </c>
      <c r="B7" s="13"/>
      <c r="C7" s="14" t="s">
        <v>5</v>
      </c>
      <c r="D7" s="32">
        <v>0</v>
      </c>
      <c r="E7" s="31">
        <v>0</v>
      </c>
      <c r="F7" s="22">
        <f t="shared" si="0"/>
        <v>0</v>
      </c>
    </row>
    <row r="8" spans="1:6" ht="30" customHeight="1" x14ac:dyDescent="0.25">
      <c r="A8" s="8">
        <v>7</v>
      </c>
      <c r="B8" s="2"/>
      <c r="C8" s="9" t="s">
        <v>6</v>
      </c>
      <c r="D8" s="48">
        <v>241.75</v>
      </c>
      <c r="E8" s="45">
        <v>3.3</v>
      </c>
      <c r="F8" s="22">
        <f t="shared" si="0"/>
        <v>797.77499999999998</v>
      </c>
    </row>
    <row r="9" spans="1:6" ht="30" customHeight="1" x14ac:dyDescent="0.25">
      <c r="A9" s="12">
        <v>8</v>
      </c>
      <c r="B9" s="13"/>
      <c r="C9" s="14" t="s">
        <v>7</v>
      </c>
      <c r="D9" s="33">
        <v>0</v>
      </c>
      <c r="E9" s="49">
        <v>0</v>
      </c>
      <c r="F9" s="46">
        <f t="shared" si="0"/>
        <v>0</v>
      </c>
    </row>
    <row r="10" spans="1:6" ht="30" customHeight="1" x14ac:dyDescent="0.25">
      <c r="A10" s="12">
        <v>9</v>
      </c>
      <c r="B10" s="13"/>
      <c r="C10" s="14" t="s">
        <v>18</v>
      </c>
      <c r="D10" s="50">
        <v>0</v>
      </c>
      <c r="E10" s="49">
        <v>0</v>
      </c>
      <c r="F10" s="46">
        <f t="shared" si="0"/>
        <v>0</v>
      </c>
    </row>
    <row r="11" spans="1:6" ht="30" customHeight="1" x14ac:dyDescent="0.25">
      <c r="A11" s="12">
        <v>10</v>
      </c>
      <c r="B11" s="13"/>
      <c r="C11" s="14" t="s">
        <v>19</v>
      </c>
      <c r="D11" s="33">
        <v>0</v>
      </c>
      <c r="E11" s="49">
        <v>0</v>
      </c>
      <c r="F11" s="46">
        <f t="shared" si="0"/>
        <v>0</v>
      </c>
    </row>
    <row r="12" spans="1:6" ht="30" customHeight="1" x14ac:dyDescent="0.25">
      <c r="A12" s="12">
        <v>11</v>
      </c>
      <c r="B12" s="13"/>
      <c r="C12" s="14" t="s">
        <v>14</v>
      </c>
      <c r="D12" s="33">
        <v>0</v>
      </c>
      <c r="E12" s="49">
        <v>0</v>
      </c>
      <c r="F12" s="46">
        <f t="shared" si="0"/>
        <v>0</v>
      </c>
    </row>
    <row r="13" spans="1:6" ht="30" customHeight="1" x14ac:dyDescent="0.25">
      <c r="A13" s="12">
        <v>12</v>
      </c>
      <c r="B13" s="13"/>
      <c r="C13" s="14" t="s">
        <v>15</v>
      </c>
      <c r="D13" s="33">
        <v>0</v>
      </c>
      <c r="E13" s="49">
        <v>0</v>
      </c>
      <c r="F13" s="46">
        <f t="shared" si="0"/>
        <v>0</v>
      </c>
    </row>
    <row r="14" spans="1:6" ht="30" customHeight="1" x14ac:dyDescent="0.25">
      <c r="A14" s="12">
        <v>13</v>
      </c>
      <c r="B14" s="13"/>
      <c r="C14" s="14" t="s">
        <v>16</v>
      </c>
      <c r="D14" s="33">
        <v>0</v>
      </c>
      <c r="E14" s="49">
        <v>0</v>
      </c>
      <c r="F14" s="46">
        <f t="shared" si="0"/>
        <v>0</v>
      </c>
    </row>
    <row r="15" spans="1:6" ht="21" x14ac:dyDescent="0.35">
      <c r="D15" s="21">
        <f>SUM(D2:D14)</f>
        <v>689.27</v>
      </c>
      <c r="E15" s="51"/>
      <c r="F15" s="52">
        <f>SUM(F2:F14)</f>
        <v>2274.5909999999999</v>
      </c>
    </row>
    <row r="40" spans="3:3" x14ac:dyDescent="0.25">
      <c r="C40" t="s">
        <v>23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P1</vt:lpstr>
      <vt:lpstr>PS4</vt:lpstr>
      <vt:lpstr>PS3</vt:lpstr>
      <vt:lpstr>P0</vt:lpstr>
      <vt:lpstr>PS1</vt:lpstr>
      <vt:lpstr>PS2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2023-03-17T15:16:18Z</dcterms:modified>
</cp:coreProperties>
</file>